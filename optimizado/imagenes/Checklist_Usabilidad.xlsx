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tru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Results" sheetId="2" state="visible" r:id="rId4"/>
    <sheet name="Home Page" sheetId="3" state="visible" r:id="rId5"/>
    <sheet name="Task Orientation" sheetId="4" state="visible" r:id="rId6"/>
    <sheet name="Navigation &amp; IA" sheetId="5" state="visible" r:id="rId7"/>
    <sheet name="Forms &amp; Data Entry" sheetId="6" state="visible" r:id="rId8"/>
    <sheet name="Trust &amp; Credibility" sheetId="7" state="visible" r:id="rId9"/>
    <sheet name="Writing &amp; Content Quality" sheetId="8" state="visible" r:id="rId10"/>
    <sheet name="Page Layout &amp; Visual Design" sheetId="9" state="visible" r:id="rId11"/>
    <sheet name="Search" sheetId="10" state="visible" r:id="rId12"/>
    <sheet name="Help, Feedback, Error Tolerance" sheetId="11" state="visible" r:id="rId13"/>
    <sheet name="Further reading" sheetId="12" state="visible" r:id="rId14"/>
  </sheets>
  <definedNames>
    <definedName function="false" hidden="false" name="Results" vbProcedure="false">Results!$G$1</definedName>
  </definedNames>
  <calcPr iterateCount="100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<sst xmlns="http://schemas.openxmlformats.org/spreadsheetml/2006/main" count="281" uniqueCount="265">
  <si>
    <t xml:space="preserve">Last updated: 22 October 2014. Check for the latest version.</t>
  </si>
  <si>
    <t xml:space="preserve">Summary of results</t>
  </si>
  <si>
    <t xml:space="preserve">Raw score</t>
  </si>
  <si>
    <t xml:space="preserve"># Questions</t>
  </si>
  <si>
    <t xml:space="preserve"># Answers</t>
  </si>
  <si>
    <t xml:space="preserve">Score</t>
  </si>
  <si>
    <t xml:space="preserve">Home Page</t>
  </si>
  <si>
    <t xml:space="preserve">Task Orientation</t>
  </si>
  <si>
    <t xml:space="preserve">Navigation &amp; IA</t>
  </si>
  <si>
    <t xml:space="preserve">Forms &amp; Data Entry</t>
  </si>
  <si>
    <t xml:space="preserve">Trust &amp; Credibility</t>
  </si>
  <si>
    <t xml:space="preserve">Writing &amp; Content Quality</t>
  </si>
  <si>
    <t xml:space="preserve">Page Layout &amp; Visual Design</t>
  </si>
  <si>
    <t xml:space="preserve">Search</t>
  </si>
  <si>
    <t xml:space="preserve">Help, Feedback &amp; Error Tolerance</t>
  </si>
  <si>
    <t xml:space="preserve">Overall score</t>
  </si>
  <si>
    <t xml:space="preserve">Checkpoint</t>
  </si>
  <si>
    <t xml:space="preserve">Comments</t>
  </si>
  <si>
    <t xml:space="preserve">The items on the home page are clearly focused on users’ key tasks (“featuritis” has been avoided)</t>
  </si>
  <si>
    <t xml:space="preserve">The home page contains a search input box</t>
  </si>
  <si>
    <t xml:space="preserve">Product categories are provided and clearly visible on the homepage</t>
  </si>
  <si>
    <t xml:space="preserve">Useful content is presented on the home page or within one click of the home page</t>
  </si>
  <si>
    <t xml:space="preserve">The home page shows good examples of real site content</t>
  </si>
  <si>
    <t xml:space="preserve">Links on the home page begin with the most important keyword (e.g. "Sun holidays" not "Holidays in the sun")</t>
  </si>
  <si>
    <t xml:space="preserve">There is a short list of items recently featured on the homepage, supplemented with a link to archival content</t>
  </si>
  <si>
    <t xml:space="preserve">Navigation areas on the home page are not over-formatted and users will not mistake them for adverts</t>
  </si>
  <si>
    <t xml:space="preserve">The value proposition is clearly stated on the home page (e.g. with a tagline or welcome blurb)</t>
  </si>
  <si>
    <t xml:space="preserve">The home page contains meaningful graphics, not clip art or pictures of models</t>
  </si>
  <si>
    <t xml:space="preserve">Navigation choices are ordered in the most logical or task-oriented manner (with the less important corporate information at the bottom)</t>
  </si>
  <si>
    <t xml:space="preserve">The title of the home page will provide good visibility in search engines like Google</t>
  </si>
  <si>
    <t xml:space="preserve">All corporate information is grouped in one distinct area (e.g. "About Us")</t>
  </si>
  <si>
    <t xml:space="preserve">Users will understand the value proposition</t>
  </si>
  <si>
    <t xml:space="preserve">By just looking at the home page, the first time user will understand where to start</t>
  </si>
  <si>
    <t xml:space="preserve">The home page shows all the major options</t>
  </si>
  <si>
    <t xml:space="preserve">The home page of the site has a memorable URL</t>
  </si>
  <si>
    <t xml:space="preserve">The home page is professionally designed and will create a positive first impression</t>
  </si>
  <si>
    <t xml:space="preserve">The design of the home page will encourage people to explore the site</t>
  </si>
  <si>
    <t xml:space="preserve">The home page looks like a home page; pages lower in the site will not be confused with it</t>
  </si>
  <si>
    <t xml:space="preserve">The site is free from irrelevant, unnecessary and distracting information</t>
  </si>
  <si>
    <t xml:space="preserve">Excessive use of scripts, applets, movies, audio files, graphics and images has been avoided</t>
  </si>
  <si>
    <t xml:space="preserve">The site avoids unnecessary registration</t>
  </si>
  <si>
    <t xml:space="preserve">The critical path (e.g. purchase, subscription) is clear, with no distractions on route</t>
  </si>
  <si>
    <t xml:space="preserve">Information is presented in a simple, natural and logical order</t>
  </si>
  <si>
    <t xml:space="preserve">The number of screens required per task has been minimised</t>
  </si>
  <si>
    <t xml:space="preserve">The site requires minimal scrolling and clicking</t>
  </si>
  <si>
    <t xml:space="preserve">The site correctly anticipates and prompts for the user’s probable next activity</t>
  </si>
  <si>
    <t xml:space="preserve">When graphs are shown, users have access to the actual data (e.g. numeric annotation on bar charts)</t>
  </si>
  <si>
    <t xml:space="preserve">Activities allocated to the user or the computer take full advantage of the strengths of each (look for actions that can be done automatically by the site, e.g. postcode lookup)</t>
  </si>
  <si>
    <t xml:space="preserve">Users can complete common tasks quickly</t>
  </si>
  <si>
    <t xml:space="preserve">Items can be compared easily when this is necessary for the task (e.g. product comparisons)</t>
  </si>
  <si>
    <t xml:space="preserve">The task sequence parallels the user’s work processes</t>
  </si>
  <si>
    <t xml:space="preserve">The site makes the user’s work easier and quicker than without the system</t>
  </si>
  <si>
    <t xml:space="preserve">The most important and frequently used topics, features and functions are close to the centre of the page, not in the far left or right margins</t>
  </si>
  <si>
    <t xml:space="preserve">The user does not need to enter the same information more than once</t>
  </si>
  <si>
    <t xml:space="preserve">Important, frequently needed topics and tasks are close to the 'surface' of the web site</t>
  </si>
  <si>
    <t xml:space="preserve">Typing (e.g. during purchase) is kept to an absolute minimum, with accelerators (“one-click”) for return users</t>
  </si>
  <si>
    <t xml:space="preserve">The path for any given task is a reasonable length (2-5 clicks)</t>
  </si>
  <si>
    <t xml:space="preserve">When there are multiple steps in a task, the site displays all the steps that need to be completed and provides feedback on the user’s current position in the workflow</t>
  </si>
  <si>
    <t xml:space="preserve">Price is always clearly displayed next to any product 
</t>
  </si>
  <si>
    <t xml:space="preserve">The site's privacy policy is easy to find, especially on pages that ask for personal information, and the policy is simple and clear</t>
  </si>
  <si>
    <t xml:space="preserve">Users of the site do not need to remember information from place to place</t>
  </si>
  <si>
    <t xml:space="preserve">The use of metaphors is easily understandable by the typical user</t>
  </si>
  <si>
    <t xml:space="preserve">Data formats follow appropriate cultural conventions (e.g. miles for UK)</t>
  </si>
  <si>
    <t xml:space="preserve">Details of the software's internal workings are not exposed to the user</t>
  </si>
  <si>
    <t xml:space="preserve">The site caters for users with little prior experience of the web</t>
  </si>
  <si>
    <t xml:space="preserve">The site makes it easy for users to explore the site and try out different options before committing themselves</t>
  </si>
  <si>
    <t xml:space="preserve">A typical first-time visitor can do the most common tasks without assistance</t>
  </si>
  <si>
    <t xml:space="preserve">When they return to the site, users will remember how to carry out the key tasks</t>
  </si>
  <si>
    <t xml:space="preserve">The functionality of novel device controls is obvious</t>
  </si>
  <si>
    <t xml:space="preserve">On the basket page, there is a highly visible ‘Proceed to checkout’ button at the top and bottom of the page </t>
  </si>
  <si>
    <t xml:space="preserve">Important calls to action, like ‘Add to basket’, are highly visible</t>
  </si>
  <si>
    <t xml:space="preserve">Action buttons (such as “Submit”) are always invoked by the user, not automatically invoked by the system when the last field is completed</t>
  </si>
  <si>
    <t xml:space="preserve">Command and action items are presented as buttons (not, for example, as hypertext links)</t>
  </si>
  <si>
    <t xml:space="preserve">If the user is half-way through a transaction and quits, the user can later return to the site and continue from where he left off</t>
  </si>
  <si>
    <t xml:space="preserve">When a page presents a lot of information, the user can sort and filter the information</t>
  </si>
  <si>
    <t xml:space="preserve">If there is an image on a button or icon, it is relevant to the task</t>
  </si>
  <si>
    <t xml:space="preserve">The site prompts the user before automatically logging off the user, and the time out is appropriate</t>
  </si>
  <si>
    <t xml:space="preserve">Unwanted features (e.g. Flash animations) can be stopped or skipped</t>
  </si>
  <si>
    <t xml:space="preserve">The site is robust and all the key features work (i.e. there are no javascript exceptions, CGI errors or broken links)</t>
  </si>
  <si>
    <t xml:space="preserve">The site supports novice and expert users by providing different levels of explanation (e.g. in help and error messages)</t>
  </si>
  <si>
    <t xml:space="preserve">The site allows users to rename objects and actions in the interface (e.g. naming delivery addresses or accounts)</t>
  </si>
  <si>
    <t xml:space="preserve">The site allows the user to customise operational time parameters (e.g. time until automatic logout)</t>
  </si>
  <si>
    <t xml:space="preserve">There is a convenient and obvious way to move between related pages and sections and it is easy to return to the home page</t>
  </si>
  <si>
    <t xml:space="preserve">The information that users are most likely to need is easy to navigate to from most pages</t>
  </si>
  <si>
    <t xml:space="preserve">Navigation choices are ordered in the most logical or task-oriented manner</t>
  </si>
  <si>
    <t xml:space="preserve">The navigation system is broad and shallow (many items on a menu) rather than deep (many menu levels)</t>
  </si>
  <si>
    <t xml:space="preserve">The site structure is simple, with a clear conceptual model and no unnecessary levels</t>
  </si>
  <si>
    <t xml:space="preserve">The major sections of the site are available from every page (persistent navigation) and there are no dead ends</t>
  </si>
  <si>
    <t xml:space="preserve">Navigation tabs are located at the top of the page, and look like clickable versions of real-world tabs</t>
  </si>
  <si>
    <t xml:space="preserve">There is a site map that provides an overview of the site's content</t>
  </si>
  <si>
    <t xml:space="preserve">The site map is linked to from every page</t>
  </si>
  <si>
    <t xml:space="preserve">The site map provides a concise overview of the site, not a rehash of the main navigation or a list of every single topic</t>
  </si>
  <si>
    <t xml:space="preserve">Good navigational feedback is provided (e.g. showing where you are in the site)</t>
  </si>
  <si>
    <t xml:space="preserve">Category labels accurately describe the information in the category</t>
  </si>
  <si>
    <t xml:space="preserve">Links and navigation labels contain the "trigger words" that users will look for to achieve their goal</t>
  </si>
  <si>
    <t xml:space="preserve">Terminology and conventions (such as link colours) are (approximately) consistent with general web usage</t>
  </si>
  <si>
    <t xml:space="preserve">Links look the same in the different sections of the site</t>
  </si>
  <si>
    <t xml:space="preserve">Product pages contain links to similar and complementary products to support cross-selling </t>
  </si>
  <si>
    <t xml:space="preserve">The terms used for navigation items and hypertext links are unambiguous and jargon-free</t>
  </si>
  <si>
    <t xml:space="preserve">Users can sort and filter catalogue pages (e.g. by listing in price order, or showing 'most popular')</t>
  </si>
  <si>
    <t xml:space="preserve">There is a visible change when the mouse points at something clickable (excluding cursor changes)</t>
  </si>
  <si>
    <t xml:space="preserve">Important content can be accessed from more than one link (different users may require different link labels)</t>
  </si>
  <si>
    <t xml:space="preserve">Navigation-only pages (such as the home page) can be viewed without scrolling</t>
  </si>
  <si>
    <t xml:space="preserve">Hypertext links that invoke actions (e.g downloads, new windows) are clearly distinguished from hypertext links that load another page</t>
  </si>
  <si>
    <t xml:space="preserve">The site allows the user to control the pace and sequence of the interaction</t>
  </si>
  <si>
    <t xml:space="preserve">There are clearly marked exits on every page allowing the user to bale out of the current task without having to go through an extended dialog</t>
  </si>
  <si>
    <t xml:space="preserve">The site does not disable the browser's “Back” button and the "Back" button appears on the browser toolbar on every page</t>
  </si>
  <si>
    <t xml:space="preserve">Clicking the back button always takes the user back to the page the user came from</t>
  </si>
  <si>
    <t xml:space="preserve"> A link to both the basket and checkout is clearly visible on every page</t>
  </si>
  <si>
    <t xml:space="preserve">If the site spawns new windows, these will not confuse the user (e.g. they are dialog-box sized and can be easily closed)</t>
  </si>
  <si>
    <t xml:space="preserve">Menu instructions, prompts and messages appear on the same place on each screen</t>
  </si>
  <si>
    <t xml:space="preserve">Fields in data entry screens contain default values when appropriate and show the structure of the data and the field length</t>
  </si>
  <si>
    <t xml:space="preserve">When a task involves source documents (such as a paper form), the interface is compatible with the characteristics of the source document</t>
  </si>
  <si>
    <t xml:space="preserve">The site automatically enters field formatting data (e.g. currency symbols, commas for 1000s, trailing or leading spaces).  Users do not need to enter characters like £ or %. </t>
  </si>
  <si>
    <t xml:space="preserve">Field labels on forms clearly explain what entries are desired</t>
  </si>
  <si>
    <t xml:space="preserve">Text boxes on forms are the right length for the expected answer</t>
  </si>
  <si>
    <t xml:space="preserve">There is a clear distinction between “required” and “optional” fields on forms</t>
  </si>
  <si>
    <t xml:space="preserve">The same form is used for both logging in and registering (i.e. it's like Amazon)</t>
  </si>
  <si>
    <t xml:space="preserve">Forms pre-warn the user if external information is needed for completion (e.g. a passport number)</t>
  </si>
  <si>
    <t xml:space="preserve">Questions on forms are grouped logically, and each group has a heading</t>
  </si>
  <si>
    <t xml:space="preserve">Fields on forms contain hints, examples or model answers to demonstrate the expected input</t>
  </si>
  <si>
    <t xml:space="preserve">When field labels on forms take the form of questions, the questions are stated in clear, simple language</t>
  </si>
  <si>
    <t xml:space="preserve">Pull-down menus, radio buttons and check boxes are used in preference to text entry fields on forms (i.e. text entry fields are not overused)</t>
  </si>
  <si>
    <t xml:space="preserve">With data entry screens, the cursor is placed where the input is needed</t>
  </si>
  <si>
    <t xml:space="preserve">Data formats are clearly indicated for input (e.g. dates) and output (e.g. units of values).</t>
  </si>
  <si>
    <t xml:space="preserve">Users can complete simple tasks by entering just essential information (with the system supplying the non-essential information by default)</t>
  </si>
  <si>
    <t xml:space="preserve">Forms allow users to stay with a single interaction method for as long as possible (i.e. users do not need to make numerous shifts from keyboard to mouse to keyboard).</t>
  </si>
  <si>
    <t xml:space="preserve">The user can change default values in form fields</t>
  </si>
  <si>
    <t xml:space="preserve">Text entry fields indicate the amount and the format of data that needs to be entered</t>
  </si>
  <si>
    <t xml:space="preserve">Forms are validated before the form is submitted </t>
  </si>
  <si>
    <t xml:space="preserve">With data entry screens, the site carries out field-level checking and form-level checking at the appropriate time</t>
  </si>
  <si>
    <t xml:space="preserve">The site makes it easy to correct errors (e.g. when a form is incomplete, positioning the cursor at the location where correction is required)</t>
  </si>
  <si>
    <t xml:space="preserve">There is consistency between data entry and data display</t>
  </si>
  <si>
    <t xml:space="preserve">Labels are close to the data entry fields (e.g. labels are right justified)</t>
  </si>
  <si>
    <t xml:space="preserve">The content is up-to-date, authoritative and trustworthy</t>
  </si>
  <si>
    <t xml:space="preserve">The site contains third-party support (e.g. citations, testimonials) to verify the accuracy of information.</t>
  </si>
  <si>
    <t xml:space="preserve">It is clear that there is a real organisation behind the site (e.g. there is a physical address or a photo of the office)</t>
  </si>
  <si>
    <t xml:space="preserve">The company comprises acknowledged experts (look for credentials)</t>
  </si>
  <si>
    <t xml:space="preserve">The site avoids advertisements, especially pop-ups.</t>
  </si>
  <si>
    <t xml:space="preserve">Delivery costs are highlighted at the very beginning of checkout</t>
  </si>
  <si>
    <t xml:space="preserve">The site avoids marketing waffle</t>
  </si>
  <si>
    <t xml:space="preserve">Each page is clearly branded so that the user knows he is still in the same site</t>
  </si>
  <si>
    <t xml:space="preserve">It is easy to contact someone for assistance and a reply is received quickly</t>
  </si>
  <si>
    <t xml:space="preserve">The content is fresh: it is updated frequently and the site includes recent content</t>
  </si>
  <si>
    <t xml:space="preserve">The site is free of typographic errors and spelling mistakes</t>
  </si>
  <si>
    <t xml:space="preserve">The visual design complements the brand and any offline marketing messages</t>
  </si>
  <si>
    <t xml:space="preserve">There are real people behind the organisation and they are honest and trustworthy (look for bios)</t>
  </si>
  <si>
    <t xml:space="preserve">The site has compelling and unique content</t>
  </si>
  <si>
    <t xml:space="preserve">Text is concise, with no needless instructions or welcome notes</t>
  </si>
  <si>
    <t xml:space="preserve">Each content page begins with conclsuions or implications and the text is written with an inverted pyramid style</t>
  </si>
  <si>
    <t xml:space="preserve">Pages use bulleted and numbered lists in preference to narrative text</t>
  </si>
  <si>
    <t xml:space="preserve">Lists are prefaced with a concise introduction (e.g. a word or phrase), helping users appreciate how the items are related to one another</t>
  </si>
  <si>
    <t xml:space="preserve">The most important items in a list are placed at the top</t>
  </si>
  <si>
    <t xml:space="preserve">Information is organised hierarchically, from the general to the specific, and the organisation is clear and logical</t>
  </si>
  <si>
    <t xml:space="preserve">Content has been specifically created for the web (web pages do not comprise repurposed material from print publications such as brochures)</t>
  </si>
  <si>
    <t xml:space="preserve">Product pages contain the detail necessary to make a purchase, and users can zoom in on product images</t>
  </si>
  <si>
    <t xml:space="preserve">Hypertext has been appropriately used to structure content</t>
  </si>
  <si>
    <t xml:space="preserve">Sentences are written in the active voice</t>
  </si>
  <si>
    <t xml:space="preserve">Pages are quick to scan, with ample headings and sub-headings and short paragraphs</t>
  </si>
  <si>
    <t xml:space="preserve">The site uses maps, diagrams, graphs, flow charts and other visuals in preference to wordy blocks of text </t>
  </si>
  <si>
    <t xml:space="preserve">Each page is clearly labelled with a descriptive and useful title that makes sense as a bookmark</t>
  </si>
  <si>
    <t xml:space="preserve">Links and link titles are descriptive and predictive, and there are no “Click here!” links</t>
  </si>
  <si>
    <t xml:space="preserve">The site avoids cute, clever, or cryptic headings</t>
  </si>
  <si>
    <t xml:space="preserve">Link names match the title of destination pages, so users will know when they have reached the intended page</t>
  </si>
  <si>
    <t xml:space="preserve">Button labels and link labels start with action words</t>
  </si>
  <si>
    <t xml:space="preserve">Headings and sub-headings are short, straightforward and descriptive</t>
  </si>
  <si>
    <t xml:space="preserve">The words, phrases and concepts used will be familiar to the typical user</t>
  </si>
  <si>
    <t xml:space="preserve">Numbered lists start at "1" not at "0"</t>
  </si>
  <si>
    <t xml:space="preserve">Acronyms and abbreviations are defined when first used</t>
  </si>
  <si>
    <t xml:space="preserve">Text links are long enough to be understood, but short enough to minimise wrapping (especially when used as a navigation list)</t>
  </si>
  <si>
    <t xml:space="preserve">The screen density is appropriate for the target users and their tasks</t>
  </si>
  <si>
    <t xml:space="preserve">The layout helps focus attention on what to do next</t>
  </si>
  <si>
    <t xml:space="preserve">On all pages, the most important information (such as frequently used topics, features and functions) is presented on the first screenful of information (“above the fold”)</t>
  </si>
  <si>
    <t xml:space="preserve">The site can be used without scrolling horizontally</t>
  </si>
  <si>
    <t xml:space="preserve">Things that are clickable (like buttons) are obviously pressable</t>
  </si>
  <si>
    <t xml:space="preserve">Items that aren't clickable do not have characteristics that suggest that they are</t>
  </si>
  <si>
    <t xml:space="preserve">The functionality of buttons and controls is obvious from their labels or from their design</t>
  </si>
  <si>
    <t xml:space="preserve">Clickable images include redundant text labels (i.e. there is no 'mystery meat' navigation)</t>
  </si>
  <si>
    <t xml:space="preserve">Hypertext links are easy to identify without needing to 'minesweep' (e.g. underlined)</t>
  </si>
  <si>
    <t xml:space="preserve">Fonts are used consistently</t>
  </si>
  <si>
    <t xml:space="preserve">The relationship between controls and their actions is obvious</t>
  </si>
  <si>
    <t xml:space="preserve">Icons and graphics are standard and/or intuitive (concrete and familiar)</t>
  </si>
  <si>
    <t xml:space="preserve">There is a clear visual "starting point" to every page</t>
  </si>
  <si>
    <t xml:space="preserve">Each page on the site shares a consistent layout</t>
  </si>
  <si>
    <t xml:space="preserve">Pages on the site are formatted for printing, or there is a printer-friendly version</t>
  </si>
  <si>
    <t xml:space="preserve">Buttons and links show that they have been clicked</t>
  </si>
  <si>
    <t xml:space="preserve">GUI components (like radio buttons and check boxes) are used appropriately </t>
  </si>
  <si>
    <t xml:space="preserve">Fonts are readable</t>
  </si>
  <si>
    <t xml:space="preserve">The site avoids italicised text and uses underlining only for hypertext links</t>
  </si>
  <si>
    <t xml:space="preserve">There is a good balance between information density and use of white space</t>
  </si>
  <si>
    <t xml:space="preserve">The site is pleasant to look at</t>
  </si>
  <si>
    <t xml:space="preserve">Pages are free of "scroll stoppers" (headings or page elements that create the illusion that users have reached the top or bottom of a page when they have not)</t>
  </si>
  <si>
    <t xml:space="preserve">The site avoids extensive use of upper case text</t>
  </si>
  <si>
    <t xml:space="preserve">The site has a consistent, clearly recognisable look and feel that will engage users</t>
  </si>
  <si>
    <t xml:space="preserve">Saturated blue is avoided for fine detail (e.g. text, thin lines and symbols)</t>
  </si>
  <si>
    <t xml:space="preserve">Colour is used to structure and group items on the page</t>
  </si>
  <si>
    <t xml:space="preserve">Graphics will not be confused with banner ads</t>
  </si>
  <si>
    <t xml:space="preserve">Emboldening is used to emphasise important topic categories </t>
  </si>
  <si>
    <t xml:space="preserve">On content pages, line lengths are neither too short (&lt;50 characters per line) nor too long (&gt;100 characters per line) when viewed in a standard browser width window</t>
  </si>
  <si>
    <t xml:space="preserve">Pages have been designed to an underlying grid, with items and widgets aligned both horizontally and vertically</t>
  </si>
  <si>
    <t xml:space="preserve">Meaningful labels, effective background colours and appropriate use of borders and white space help users identify a set of items as a discrete functional block </t>
  </si>
  <si>
    <t xml:space="preserve">The colours work well together and complicated backgrounds are avoided</t>
  </si>
  <si>
    <t xml:space="preserve">Individual pages are free of clutter and irrelevant information</t>
  </si>
  <si>
    <t xml:space="preserve">Standard elements (such as page titles, site navigation, page navigation, privacy policy etc.) are easy to locate</t>
  </si>
  <si>
    <t xml:space="preserve">The organisation's logo is placed in the same location on every page, and clicking the logo returns the user to the most logical page (e.g. the home page)</t>
  </si>
  <si>
    <t xml:space="preserve">Attention-attracting features (such as animation, bold colours and size differentials) are used sparingly and only where relevant</t>
  </si>
  <si>
    <t xml:space="preserve">Icons are visually and conceptually distinct yet still harmonious (clearly part of the same family)</t>
  </si>
  <si>
    <t xml:space="preserve">Related information and functions are clustered together, and each group can be scanned in a single fixation (5-deg, about 4.4cm diam circle on screen)</t>
  </si>
  <si>
    <t xml:space="preserve">The default search is intuitive to configure (no Boolean operators)</t>
  </si>
  <si>
    <t xml:space="preserve">The search results page shows the user what was searched for and it is easy to edit and resubmit the search</t>
  </si>
  <si>
    <t xml:space="preserve">Search results are clear, useful and ranked by relevance</t>
  </si>
  <si>
    <t xml:space="preserve">The search results page makes it clear how many results were retrieved, and the number of results per page can be configured by the user</t>
  </si>
  <si>
    <t xml:space="preserve">If no results are returned, the system offers ideas or options for improving the query based on identifiable problems with the user's input</t>
  </si>
  <si>
    <t xml:space="preserve">The search engine handles empty queries gracefully</t>
  </si>
  <si>
    <t xml:space="preserve">The most common queries (as reflected in the site log) produce useful results</t>
  </si>
  <si>
    <t xml:space="preserve">The search engine includes templates, examples or hints on how to use it effectively</t>
  </si>
  <si>
    <t xml:space="preserve">The site includes a more powerful search interface available to help users refine their searches (preferably named "revise search" or "refine search", not "advanced search)</t>
  </si>
  <si>
    <t xml:space="preserve">The search results page does not show duplicate results (either perceived duplicates or actual duplicates)</t>
  </si>
  <si>
    <t xml:space="preserve">The search box is long enough to handle common query lengths</t>
  </si>
  <si>
    <t xml:space="preserve">Searches cover the entire web site, not a portion of it</t>
  </si>
  <si>
    <t xml:space="preserve">If the site allows users to set up a complex search, these searches can be saved and executed on a regular basis (so users can keep up-to-date with dynamic content)</t>
  </si>
  <si>
    <t xml:space="preserve">The search interface is located where users will expect to find it (top right of page)</t>
  </si>
  <si>
    <t xml:space="preserve">The search box and its controls are clearly labelled (multiple search boxes can be confusing)</t>
  </si>
  <si>
    <t xml:space="preserve">The site supports people who want to browse and people who want to search</t>
  </si>
  <si>
    <t xml:space="preserve">The scope of the search is made explicit on the search results page and users can restrict the scope (if relevant to the task)</t>
  </si>
  <si>
    <t xml:space="preserve">The search results page displays useful meta-information, such as the size of the document, the date that the document was created and the file type (Word, pdf etc.)</t>
  </si>
  <si>
    <t xml:space="preserve">The search engine provides automatic spell checking and looks for plurals and synonyms</t>
  </si>
  <si>
    <t xml:space="preserve">The search engine provides an option for similarity search (“more like this”)</t>
  </si>
  <si>
    <t xml:space="preserve">The FAQ or on-line help provides step-by-step instructions to help users carry out the most important tasks</t>
  </si>
  <si>
    <t xml:space="preserve">It is easy to get help in the right form and at the right time</t>
  </si>
  <si>
    <t xml:space="preserve">Prompts are brief and unambiguous</t>
  </si>
  <si>
    <t xml:space="preserve">The user does not need to consult user manuals or other external information to use the site</t>
  </si>
  <si>
    <t xml:space="preserve">The site uses a customised 404 page, which includes tips on how to find the missing page and links to “Home” and Search</t>
  </si>
  <si>
    <t xml:space="preserve">The site provides good feedback (e.g. progress indicators or messages) when needed (e.g. during checkout)</t>
  </si>
  <si>
    <t xml:space="preserve">Users are given help in choosing products 
</t>
  </si>
  <si>
    <t xml:space="preserve">User confirmation is required before carrying out potentially “dangerous” actions (e.g. deleting something)</t>
  </si>
  <si>
    <t xml:space="preserve">Confirmation pages are clear</t>
  </si>
  <si>
    <t xml:space="preserve">Error messages contain clear instructions on what to do next</t>
  </si>
  <si>
    <t xml:space="preserve">Immediately prior to commiting to the purchase, the site shows the user a clear summary page and this will not be confused with a purchase confirmation page</t>
  </si>
  <si>
    <t xml:space="preserve">When the user needs to choose between different options (such as in a dialog box), the options are obvious</t>
  </si>
  <si>
    <t xml:space="preserve">The site keeps users informed about unavoidable delays in the site’s response time (e.g. when authorising a credit card transaction)</t>
  </si>
  <si>
    <t xml:space="preserve">Error messages are written in a non-derisory tone and do not blame the user for the error</t>
  </si>
  <si>
    <t xml:space="preserve">Pages load quickly (5 seconds or less)</t>
  </si>
  <si>
    <t xml:space="preserve">The site provides immediate feedback on user input or actions</t>
  </si>
  <si>
    <t xml:space="preserve">The user is warned about large, slow-loading pages (e.g. “Please wait…”), and the most important information appears first</t>
  </si>
  <si>
    <t xml:space="preserve">Where tooltips are used, they provide useful additional help and do not simply duplicate text in the icon, link or field label</t>
  </si>
  <si>
    <t xml:space="preserve">When giving instructions, pages tell users what to do rather than what to avoid doing</t>
  </si>
  <si>
    <t xml:space="preserve">The site shows users how to do common tasks where appropriate (e.g. with demonstrations of the site's functionality)</t>
  </si>
  <si>
    <t xml:space="preserve">The site provides feedback (e.g. “Did you know?”) that helps the user learn how to use the site</t>
  </si>
  <si>
    <t xml:space="preserve">The site provides context sensitive help</t>
  </si>
  <si>
    <t xml:space="preserve">Help is clear and direct and simply expressed in plain English, free from jargon and buzzwords</t>
  </si>
  <si>
    <t xml:space="preserve">The site provides clear feedback when a task has been completed successfully</t>
  </si>
  <si>
    <t xml:space="preserve">Important instructions remain on the screen while needed, and there are no hasty time outs requiring the user to write down information</t>
  </si>
  <si>
    <t xml:space="preserve">Fitts' Law is followed (the distance between controls and the size of the controls is appropriate, with size proportional to distance)</t>
  </si>
  <si>
    <t xml:space="preserve">There is sufficient space between targets to prevent the user from hitting multiple or incorrect targets</t>
  </si>
  <si>
    <t xml:space="preserve">There is a line space of at least 2 pixels between clickable items</t>
  </si>
  <si>
    <t xml:space="preserve">The site makes it obvious when and where an error has occurred (e.g. when a form is incomplete, highlighting the missing fields)</t>
  </si>
  <si>
    <t xml:space="preserve">The site uses appropriate selection methods (e.g. pull-down menus) as an alternative to typing</t>
  </si>
  <si>
    <t xml:space="preserve">The site does a good job of preventing the user from making errors</t>
  </si>
  <si>
    <t xml:space="preserve">The site prompts the user before correcting erroneous input (e.g. Google's “Did you mean…”)</t>
  </si>
  <si>
    <t xml:space="preserve">The site ensures that work is not lost (either by the user or site error)</t>
  </si>
  <si>
    <t xml:space="preserve">Error messages are written in plain language with sufficient explanation of the problem</t>
  </si>
  <si>
    <t xml:space="preserve">When relevant, the user can defer fixing errors until later in the task</t>
  </si>
  <si>
    <t xml:space="preserve">The site can provide more detail about error messages if required</t>
  </si>
  <si>
    <t xml:space="preserve">It is easy to “undo” (or “cancel”) and “redo” actions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</si>
</sst>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 %"/>
  </numFmts>
  <fonts count="24">
    <font>
      <sz val="10"/>
      <name val="Trebuchet M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Trebuchet MS"/>
      <family val="0"/>
    </font>
    <font>
      <b val="true"/>
      <sz val="16"/>
      <color rgb="FF008000"/>
      <name val="Rockwell"/>
      <family val="0"/>
    </font>
    <font>
      <sz val="18"/>
      <color rgb="FF000000"/>
      <name val="Rockwell"/>
      <family val="0"/>
    </font>
    <font>
      <u val="single"/>
      <sz val="18"/>
      <color rgb="FF0000FF"/>
      <name val="Rockwell"/>
      <family val="0"/>
    </font>
    <font>
      <b val="true"/>
      <sz val="18"/>
      <color rgb="FF000000"/>
      <name val="Rockwell"/>
      <family val="0"/>
    </font>
    <font>
      <b val="true"/>
      <sz val="11"/>
      <color rgb="FF99CC00"/>
      <name val="Rockwell"/>
      <family val="0"/>
    </font>
    <font>
      <b val="true"/>
      <sz val="11"/>
      <color rgb="FF993366"/>
      <name val="Rockwell"/>
      <family val="0"/>
    </font>
    <font>
      <sz val="10"/>
      <name val="Rockwell"/>
      <family val="0"/>
    </font>
    <font>
      <sz val="12"/>
      <name val="Rockwell"/>
      <family val="0"/>
    </font>
    <font>
      <sz val="10"/>
      <color rgb="FF000000"/>
      <name val="Rockwell"/>
      <family val="0"/>
    </font>
    <font>
      <sz val="10"/>
      <color rgb="FF808080"/>
      <name val="Rockwell"/>
      <family val="0"/>
    </font>
    <font>
      <sz val="10"/>
      <color rgb="FF000000"/>
      <name val="Trebuchet MS"/>
      <family val="2"/>
    </font>
    <font>
      <i val="true"/>
      <sz val="10"/>
      <color rgb="FF000000"/>
      <name val="Trebuchet MS"/>
      <family val="2"/>
    </font>
    <font>
      <i val="true"/>
      <sz val="12"/>
      <name val="Rockwell"/>
      <family val="0"/>
    </font>
    <font>
      <b val="true"/>
      <sz val="12"/>
      <color rgb="FF99CC00"/>
      <name val="Rockwell"/>
      <family val="0"/>
    </font>
    <font>
      <b val="true"/>
      <sz val="12"/>
      <name val="Rockwell"/>
      <family val="0"/>
    </font>
    <font>
      <sz val="12"/>
      <color rgb="FF008000"/>
      <name val="Rockwell"/>
      <family val="0"/>
    </font>
    <font>
      <b val="true"/>
      <sz val="14"/>
      <color rgb="FF000000"/>
      <name val="Rockwell"/>
      <family val="0"/>
    </font>
    <font>
      <sz val="14"/>
      <color rgb="FF000000"/>
      <name val="Rockwell"/>
      <family val="0"/>
    </font>
    <font>
      <u val="single"/>
      <sz val="14"/>
      <color rgb="FF0000FF"/>
      <name val="Rockwell"/>
      <family val="0"/>
    </font>
  </fonts>
  <fills count="3">
    <fill>
      <patternFill patternType="none"/>
    </fill>
    <fill>
      <patternFill patternType="gray125"/>
    </fill>
    <fill>
      <patternFill patternType="solid">
        <fgColor rgb="FF336699"/>
        <bgColor rgb="FF0066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Dashed">
        <color rgb="FF99CC00"/>
      </left>
      <right/>
      <top style="mediumDashed">
        <color rgb="FF99CC00"/>
      </top>
      <bottom/>
      <diagonal/>
    </border>
    <border diagonalUp="false" diagonalDown="false">
      <left/>
      <right/>
      <top style="mediumDashed">
        <color rgb="FF99CC00"/>
      </top>
      <bottom/>
      <diagonal/>
    </border>
    <border diagonalUp="false" diagonalDown="false">
      <left/>
      <right style="mediumDashed">
        <color rgb="FF99CC00"/>
      </right>
      <top style="mediumDashed">
        <color rgb="FF99CC00"/>
      </top>
      <bottom/>
      <diagonal/>
    </border>
    <border diagonalUp="false" diagonalDown="false">
      <left style="mediumDashed">
        <color rgb="FF99CC00"/>
      </left>
      <right/>
      <top/>
      <bottom/>
      <diagonal/>
    </border>
    <border diagonalUp="false" diagonalDown="false">
      <left/>
      <right style="mediumDashed">
        <color rgb="FF99CC00"/>
      </right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Dashed">
        <color rgb="FF99CC00"/>
      </left>
      <right/>
      <top/>
      <bottom style="mediumDashed">
        <color rgb="FF99CC00"/>
      </bottom>
      <diagonal/>
    </border>
    <border diagonalUp="false" diagonalDown="false">
      <left/>
      <right/>
      <top/>
      <bottom style="mediumDashed">
        <color rgb="FF99CC00"/>
      </bottom>
      <diagonal/>
    </border>
    <border diagonalUp="false" diagonalDown="false">
      <left/>
      <right style="mediumDashed">
        <color rgb="FF99CC00"/>
      </right>
      <top/>
      <bottom style="mediumDashed">
        <color rgb="FF99CC00"/>
      </bottom>
      <diagonal/>
    </border>
    <border diagonalUp="false" diagonalDown="false">
      <left style="mediumDashed">
        <color rgb="FF339966"/>
      </left>
      <right/>
      <top style="mediumDashed">
        <color rgb="FF339966"/>
      </top>
      <bottom/>
      <diagonal/>
    </border>
    <border diagonalUp="false" diagonalDown="false">
      <left/>
      <right/>
      <top style="mediumDashed">
        <color rgb="FF339966"/>
      </top>
      <bottom/>
      <diagonal/>
    </border>
    <border diagonalUp="false" diagonalDown="false">
      <left/>
      <right style="mediumDashed">
        <color rgb="FF339966"/>
      </right>
      <top style="mediumDashed">
        <color rgb="FF339966"/>
      </top>
      <bottom/>
      <diagonal/>
    </border>
    <border diagonalUp="false" diagonalDown="false">
      <left style="mediumDashed">
        <color rgb="FF339966"/>
      </left>
      <right/>
      <top/>
      <bottom/>
      <diagonal/>
    </border>
    <border diagonalUp="false" diagonalDown="false">
      <left style="medium">
        <color rgb="FF3366FF"/>
      </left>
      <right style="medium">
        <color rgb="FF3366FF"/>
      </right>
      <top style="medium">
        <color rgb="FF3366FF"/>
      </top>
      <bottom style="medium">
        <color rgb="FF3366FF"/>
      </bottom>
      <diagonal/>
    </border>
    <border diagonalUp="false" diagonalDown="false">
      <left/>
      <right style="mediumDashed">
        <color rgb="FF339966"/>
      </right>
      <top/>
      <bottom/>
      <diagonal/>
    </border>
    <border diagonalUp="false" diagonalDown="false">
      <left style="mediumDashed">
        <color rgb="FF339966"/>
      </left>
      <right/>
      <top/>
      <bottom style="mediumDashed">
        <color rgb="FF339966"/>
      </bottom>
      <diagonal/>
    </border>
    <border diagonalUp="false" diagonalDown="false">
      <left/>
      <right/>
      <top/>
      <bottom style="mediumDashed">
        <color rgb="FF339966"/>
      </bottom>
      <diagonal/>
    </border>
    <border diagonalUp="false" diagonalDown="false">
      <left/>
      <right style="mediumDashed">
        <color rgb="FF339966"/>
      </right>
      <top/>
      <bottom style="mediumDashed">
        <color rgb="FF33996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4" fillId="0" borderId="2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4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4" xfId="2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6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2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0"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  <dxf>
      <font>
        <name val="Trebuchet MS"/>
        <family val="0"/>
        <color rgb="00FFFFFF"/>
      </font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294931391767012"/>
          <c:y val="0.216922154663013"/>
          <c:w val="0.368076169140297"/>
          <c:h val="0.587822214609917"/>
        </c:manualLayout>
      </c:layout>
      <c:radarChart>
        <c:radarStyle val="filled"/>
        <c:varyColors val="0"/>
        <c:ser>
          <c:idx val="0"/>
          <c:order val="0"/>
          <c:spPr>
            <a:solidFill>
              <a:srgbClr val="ccffcc"/>
            </a:solidFill>
            <a:ln w="25200">
              <a:solidFill>
                <a:srgbClr val="969696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96969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Results!$C$14:$C$22</c:f>
              <c:strCache>
                <c:ptCount val="9"/>
                <c:pt idx="0">
                  <c:v>Home Page</c:v>
                </c:pt>
                <c:pt idx="1">
                  <c:v>Task Orientation</c:v>
                </c:pt>
                <c:pt idx="2">
                  <c:v>Navigation &amp; IA</c:v>
                </c:pt>
                <c:pt idx="3">
                  <c:v>Forms &amp; Data Entry</c:v>
                </c:pt>
                <c:pt idx="4">
                  <c:v>Trust &amp; Credibility</c:v>
                </c:pt>
                <c:pt idx="5">
                  <c:v>Writing &amp; Content Quality</c:v>
                </c:pt>
                <c:pt idx="6">
                  <c:v>Page Layout &amp; Visual Design</c:v>
                </c:pt>
                <c:pt idx="7">
                  <c:v>Search</c:v>
                </c:pt>
                <c:pt idx="8">
                  <c:v>Help, Feedback &amp; Error Tolerance</c:v>
                </c:pt>
              </c:strCache>
            </c:strRef>
          </c:cat>
          <c:val>
            <c:numRef>
              <c:f>Results!$G$14:$G$22</c:f>
              <c:numCache>
                <c:formatCode>General</c:formatCode>
                <c:ptCount val="9"/>
              </c:numCache>
            </c:numRef>
          </c:val>
        </c:ser>
        <c:axId val="60338720"/>
        <c:axId val="43898849"/>
      </c:radarChart>
      <c:catAx>
        <c:axId val="60338720"/>
        <c:scaling>
          <c:orientation val="maxMin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Trebuchet MS"/>
              </a:defRPr>
            </a:pPr>
          </a:p>
        </c:txPr>
        <c:crossAx val="43898849"/>
        <c:crossesAt val="0"/>
        <c:auto val="1"/>
        <c:lblAlgn val="ctr"/>
        <c:lblOffset val="100"/>
        <c:noMultiLvlLbl val="0"/>
      </c:catAx>
      <c:valAx>
        <c:axId val="43898849"/>
        <c:scaling>
          <c:orientation val="minMax"/>
        </c:scaling>
        <c:delete val="0"/>
        <c:axPos val="l"/>
        <c:majorGridlines>
          <c:spPr>
            <a:ln w="0">
              <a:solidFill>
                <a:srgbClr val="969696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i="1" u="none" strike="noStrike">
                <a:solidFill>
                  <a:srgbClr val="000000"/>
                </a:solidFill>
                <a:uFillTx/>
                <a:latin typeface="Trebuchet MS"/>
              </a:defRPr>
            </a:pPr>
          </a:p>
        </c:txPr>
        <c:crossAx val="60338720"/>
        <c:crossesAt val="1"/>
        <c:crossBetween val="midCat"/>
        <c:majorUnit val="0.25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3.jpeg"/><Relationship Id="rId5" Type="http://schemas.openxmlformats.org/officeDocument/2006/relationships/hyperlink" Target="mailto:david.travis@userfocus.co.uk?subject=Expert%20review%20guidelines" TargetMode="Externa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hyperlink" Target="https://www.udemy.com/ux-reviews/?couponCode=247uf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12600</xdr:rowOff>
    </xdr:from>
    <xdr:to>
      <xdr:col>13</xdr:col>
      <xdr:colOff>148680</xdr:colOff>
      <xdr:row>4</xdr:row>
      <xdr:rowOff>63720</xdr:rowOff>
    </xdr:to>
    <xdr:sp>
      <xdr:nvSpPr>
        <xdr:cNvPr id="1" name="AutoShape 6"/>
        <xdr:cNvSpPr/>
      </xdr:nvSpPr>
      <xdr:spPr>
        <a:xfrm>
          <a:off x="168120" y="164880"/>
          <a:ext cx="11113920" cy="50832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7360" rIns="27360" tIns="27360" bIns="0" anchor="t">
          <a:noAutofit/>
        </a:bodyPr>
        <a:p>
          <a:pPr algn="ctr"/>
          <a:r>
            <a:rPr lang="es-ES" sz="1600" b="1" u="none" strike="noStrike">
              <a:solidFill>
                <a:srgbClr val="008000"/>
              </a:solidFill>
              <a:effectLst/>
              <a:uFillTx/>
              <a:latin typeface="Rockwell"/>
            </a:rPr>
            <a:t>Instructions for using this workbook</a:t>
          </a:r>
          <a:endParaRPr lang="es-E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60480</xdr:colOff>
      <xdr:row>10</xdr:row>
      <xdr:rowOff>76320</xdr:rowOff>
    </xdr:from>
    <xdr:to>
      <xdr:col>4</xdr:col>
      <xdr:colOff>49680</xdr:colOff>
      <xdr:row>14</xdr:row>
      <xdr:rowOff>126720</xdr:rowOff>
    </xdr:to>
    <xdr:sp>
      <xdr:nvSpPr>
        <xdr:cNvPr id="2" name="TextBox 4"/>
        <xdr:cNvSpPr/>
      </xdr:nvSpPr>
      <xdr:spPr>
        <a:xfrm>
          <a:off x="228600" y="1600200"/>
          <a:ext cx="4186080" cy="66024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Step 1: Click on the "Home Page" worksheet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277920</xdr:colOff>
      <xdr:row>20</xdr:row>
      <xdr:rowOff>114120</xdr:rowOff>
    </xdr:from>
    <xdr:to>
      <xdr:col>10</xdr:col>
      <xdr:colOff>542160</xdr:colOff>
      <xdr:row>39</xdr:row>
      <xdr:rowOff>140040</xdr:rowOff>
    </xdr:to>
    <xdr:pic>
      <xdr:nvPicPr>
        <xdr:cNvPr id="3" name="Picture 6" descr="Pic002.jpg"/>
        <xdr:cNvPicPr/>
      </xdr:nvPicPr>
      <xdr:blipFill>
        <a:blip r:embed="rId1"/>
        <a:stretch/>
      </xdr:blipFill>
      <xdr:spPr>
        <a:xfrm>
          <a:off x="4642920" y="3162240"/>
          <a:ext cx="4632480" cy="2921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277920</xdr:colOff>
      <xdr:row>9</xdr:row>
      <xdr:rowOff>126720</xdr:rowOff>
    </xdr:from>
    <xdr:to>
      <xdr:col>13</xdr:col>
      <xdr:colOff>296280</xdr:colOff>
      <xdr:row>17</xdr:row>
      <xdr:rowOff>75960</xdr:rowOff>
    </xdr:to>
    <xdr:pic>
      <xdr:nvPicPr>
        <xdr:cNvPr id="4" name="Picture 7" descr="Pic003.jpg"/>
        <xdr:cNvPicPr/>
      </xdr:nvPicPr>
      <xdr:blipFill>
        <a:blip r:embed="rId2"/>
        <a:stretch/>
      </xdr:blipFill>
      <xdr:spPr>
        <a:xfrm>
          <a:off x="4642920" y="1498320"/>
          <a:ext cx="6786720" cy="116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60480</xdr:colOff>
      <xdr:row>21</xdr:row>
      <xdr:rowOff>50760</xdr:rowOff>
    </xdr:from>
    <xdr:to>
      <xdr:col>4</xdr:col>
      <xdr:colOff>49680</xdr:colOff>
      <xdr:row>34</xdr:row>
      <xdr:rowOff>140040</xdr:rowOff>
    </xdr:to>
    <xdr:sp>
      <xdr:nvSpPr>
        <xdr:cNvPr id="5" name="TextBox 8"/>
        <xdr:cNvSpPr/>
      </xdr:nvSpPr>
      <xdr:spPr>
        <a:xfrm>
          <a:off x="228600" y="3251160"/>
          <a:ext cx="4186080" cy="20703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Step 2: For each checklist item, enter a rating of -1 (doesn't comply with the guideline), +1 (complies) or 0 (kind of complies). If a guideline isn't relevant, leave the rating blank. You can add a comment if you want, to the right of the rating.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277920</xdr:colOff>
      <xdr:row>43</xdr:row>
      <xdr:rowOff>25560</xdr:rowOff>
    </xdr:from>
    <xdr:to>
      <xdr:col>13</xdr:col>
      <xdr:colOff>296280</xdr:colOff>
      <xdr:row>50</xdr:row>
      <xdr:rowOff>126720</xdr:rowOff>
    </xdr:to>
    <xdr:pic>
      <xdr:nvPicPr>
        <xdr:cNvPr id="6" name="Picture 9" descr="Pic004.jpg"/>
        <xdr:cNvPicPr/>
      </xdr:nvPicPr>
      <xdr:blipFill>
        <a:blip r:embed="rId3"/>
        <a:stretch/>
      </xdr:blipFill>
      <xdr:spPr>
        <a:xfrm>
          <a:off x="4642920" y="6578640"/>
          <a:ext cx="6786720" cy="116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60480</xdr:colOff>
      <xdr:row>43</xdr:row>
      <xdr:rowOff>76320</xdr:rowOff>
    </xdr:from>
    <xdr:to>
      <xdr:col>4</xdr:col>
      <xdr:colOff>49680</xdr:colOff>
      <xdr:row>49</xdr:row>
      <xdr:rowOff>114480</xdr:rowOff>
    </xdr:to>
    <xdr:sp>
      <xdr:nvSpPr>
        <xdr:cNvPr id="7" name="TextBox 10"/>
        <xdr:cNvSpPr/>
      </xdr:nvSpPr>
      <xdr:spPr>
        <a:xfrm>
          <a:off x="228600" y="6629400"/>
          <a:ext cx="4186080" cy="9525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Step 3: Click on the remaining worksheets in turn and rate the web site. 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172800</xdr:colOff>
      <xdr:row>14</xdr:row>
      <xdr:rowOff>75960</xdr:rowOff>
    </xdr:from>
    <xdr:to>
      <xdr:col>10</xdr:col>
      <xdr:colOff>25560</xdr:colOff>
      <xdr:row>19</xdr:row>
      <xdr:rowOff>50760</xdr:rowOff>
    </xdr:to>
    <xdr:sp>
      <xdr:nvSpPr>
        <xdr:cNvPr id="8" name="Down Arrow 11"/>
        <xdr:cNvSpPr/>
      </xdr:nvSpPr>
      <xdr:spPr>
        <a:xfrm flipV="1">
          <a:off x="8105760" y="2209680"/>
          <a:ext cx="653040" cy="736560"/>
        </a:xfrm>
        <a:prstGeom prst="downArrow">
          <a:avLst>
            <a:gd name="adj1" fmla="val 50000"/>
            <a:gd name="adj2" fmla="val 51533"/>
          </a:avLst>
        </a:prstGeom>
        <a:solidFill>
          <a:srgbClr val="c0504d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48960</xdr:colOff>
      <xdr:row>30</xdr:row>
      <xdr:rowOff>101880</xdr:rowOff>
    </xdr:from>
    <xdr:to>
      <xdr:col>10</xdr:col>
      <xdr:colOff>763920</xdr:colOff>
      <xdr:row>35</xdr:row>
      <xdr:rowOff>12240</xdr:rowOff>
    </xdr:to>
    <xdr:sp>
      <xdr:nvSpPr>
        <xdr:cNvPr id="9" name="Down Arrow 14"/>
        <xdr:cNvSpPr/>
      </xdr:nvSpPr>
      <xdr:spPr>
        <a:xfrm rot="5400000">
          <a:off x="8803440" y="4652640"/>
          <a:ext cx="672480" cy="714960"/>
        </a:xfrm>
        <a:prstGeom prst="downArrow">
          <a:avLst>
            <a:gd name="adj1" fmla="val 50000"/>
            <a:gd name="adj2" fmla="val 48576"/>
          </a:avLst>
        </a:prstGeom>
        <a:solidFill>
          <a:srgbClr val="c0504d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60480</xdr:colOff>
      <xdr:row>54</xdr:row>
      <xdr:rowOff>114480</xdr:rowOff>
    </xdr:from>
    <xdr:to>
      <xdr:col>4</xdr:col>
      <xdr:colOff>49680</xdr:colOff>
      <xdr:row>61</xdr:row>
      <xdr:rowOff>50760</xdr:rowOff>
    </xdr:to>
    <xdr:sp>
      <xdr:nvSpPr>
        <xdr:cNvPr id="10" name="TextBox 15"/>
        <xdr:cNvSpPr/>
      </xdr:nvSpPr>
      <xdr:spPr>
        <a:xfrm>
          <a:off x="228600" y="8344080"/>
          <a:ext cx="4186080" cy="1002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Step 4: Click on the Results worksheet to get a numerical rating for the compliance with the guidelines. 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277920</xdr:colOff>
      <xdr:row>54</xdr:row>
      <xdr:rowOff>38160</xdr:rowOff>
    </xdr:from>
    <xdr:to>
      <xdr:col>13</xdr:col>
      <xdr:colOff>296280</xdr:colOff>
      <xdr:row>61</xdr:row>
      <xdr:rowOff>140040</xdr:rowOff>
    </xdr:to>
    <xdr:pic>
      <xdr:nvPicPr>
        <xdr:cNvPr id="11" name="Picture 16" descr="Pic004.jpg"/>
        <xdr:cNvPicPr/>
      </xdr:nvPicPr>
      <xdr:blipFill>
        <a:blip r:embed="rId4"/>
        <a:stretch/>
      </xdr:blipFill>
      <xdr:spPr>
        <a:xfrm>
          <a:off x="4642920" y="8267760"/>
          <a:ext cx="6786720" cy="116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381240</xdr:colOff>
      <xdr:row>48</xdr:row>
      <xdr:rowOff>12240</xdr:rowOff>
    </xdr:from>
    <xdr:to>
      <xdr:col>11</xdr:col>
      <xdr:colOff>234360</xdr:colOff>
      <xdr:row>52</xdr:row>
      <xdr:rowOff>139680</xdr:rowOff>
    </xdr:to>
    <xdr:sp>
      <xdr:nvSpPr>
        <xdr:cNvPr id="12" name="Down Arrow 18"/>
        <xdr:cNvSpPr/>
      </xdr:nvSpPr>
      <xdr:spPr>
        <a:xfrm flipV="1">
          <a:off x="9114480" y="7327080"/>
          <a:ext cx="653040" cy="736920"/>
        </a:xfrm>
        <a:prstGeom prst="downArrow">
          <a:avLst>
            <a:gd name="adj1" fmla="val 50000"/>
            <a:gd name="adj2" fmla="val 51558"/>
          </a:avLst>
        </a:prstGeom>
        <a:solidFill>
          <a:srgbClr val="c0504d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96480</xdr:colOff>
      <xdr:row>59</xdr:row>
      <xdr:rowOff>37800</xdr:rowOff>
    </xdr:from>
    <xdr:to>
      <xdr:col>9</xdr:col>
      <xdr:colOff>86760</xdr:colOff>
      <xdr:row>64</xdr:row>
      <xdr:rowOff>12240</xdr:rowOff>
    </xdr:to>
    <xdr:sp>
      <xdr:nvSpPr>
        <xdr:cNvPr id="13" name="Down Arrow 20"/>
        <xdr:cNvSpPr/>
      </xdr:nvSpPr>
      <xdr:spPr>
        <a:xfrm flipV="1">
          <a:off x="7379280" y="9029160"/>
          <a:ext cx="640440" cy="736200"/>
        </a:xfrm>
        <a:prstGeom prst="downArrow">
          <a:avLst>
            <a:gd name="adj1" fmla="val 50000"/>
            <a:gd name="adj2" fmla="val 52521"/>
          </a:avLst>
        </a:prstGeom>
        <a:solidFill>
          <a:srgbClr val="c0504d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60480</xdr:colOff>
      <xdr:row>67</xdr:row>
      <xdr:rowOff>63720</xdr:rowOff>
    </xdr:from>
    <xdr:to>
      <xdr:col>4</xdr:col>
      <xdr:colOff>49680</xdr:colOff>
      <xdr:row>73</xdr:row>
      <xdr:rowOff>152640</xdr:rowOff>
    </xdr:to>
    <xdr:sp>
      <xdr:nvSpPr>
        <xdr:cNvPr id="14" name="TextBox 21">
          <a:hlinkClick r:id="rId5"/>
        </xdr:cNvPr>
        <xdr:cNvSpPr/>
      </xdr:nvSpPr>
      <xdr:spPr>
        <a:xfrm>
          <a:off x="228600" y="10274400"/>
          <a:ext cx="4186080" cy="100332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Step 5: Tell us what you think! Please send feedback to </a:t>
          </a:r>
          <a:r>
            <a:rPr lang="es-ES" sz="1800" b="0" u="sng" strike="noStrike">
              <a:solidFill>
                <a:srgbClr val="0000ff"/>
              </a:solidFill>
              <a:effectLst/>
              <a:uFillTx/>
              <a:latin typeface="Rockwell"/>
            </a:rPr>
            <a:t>david.travis@userfocus.co.uk</a:t>
          </a:r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.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84240</xdr:colOff>
      <xdr:row>76</xdr:row>
      <xdr:rowOff>0</xdr:rowOff>
    </xdr:from>
    <xdr:to>
      <xdr:col>13</xdr:col>
      <xdr:colOff>259560</xdr:colOff>
      <xdr:row>142</xdr:row>
      <xdr:rowOff>152640</xdr:rowOff>
    </xdr:to>
    <xdr:sp>
      <xdr:nvSpPr>
        <xdr:cNvPr id="15" name="TextBox 16"/>
        <xdr:cNvSpPr/>
      </xdr:nvSpPr>
      <xdr:spPr>
        <a:xfrm>
          <a:off x="252360" y="11582280"/>
          <a:ext cx="11140560" cy="1021104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lang="es-ES" sz="1800" b="1" u="none" strike="noStrike">
              <a:solidFill>
                <a:srgbClr val="000000"/>
              </a:solidFill>
              <a:effectLst/>
              <a:uFillTx/>
              <a:latin typeface="Rockwell"/>
            </a:rPr>
            <a:t>About the author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I love creating articles, resources and eBooks for the user experience community.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But it's my consulting and training work that pays the bills.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If you want to support the work that I do, here are some ideas.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ATTEND A WORKSHOP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Attend a public training courses. You'll find an up-to-date schedule here: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https://www.userfocus.co.uk/training/index.html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BUY AN ONLINE COURSE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Buy one of my online video courses on Udemy. You'll find a list here: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https://www.udemy.com/user/davidtravis/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INVITE ME IN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I can bring my workshops to you and run them for a fixed all-inclusive fee no matter where you are. You'll find more information on in-house training here: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https://www.userfocus.co.uk/training/in-house-training.html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COLLABORATE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Commission me to optimise the user experience of your product or service. You'll find more information on my consultancy services here: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https://www.userfocus.co.uk/consultancy/index.html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  <a:p>
          <a:r>
            <a:rPr lang="es-ES" sz="1800" b="0" u="none" strike="noStrike">
              <a:solidFill>
                <a:srgbClr val="000000"/>
              </a:solidFill>
              <a:effectLst/>
              <a:uFillTx/>
              <a:latin typeface="Rockwell"/>
            </a:rPr>
            <a:t>David Travis, david.travis@userfocus.co.uk</a:t>
          </a:r>
          <a:endParaRPr lang="es-ES" sz="1800" b="0" u="none" strike="noStrike">
            <a:effectLst/>
            <a:uFillTx/>
            <a:latin typeface="Times New Roman"/>
          </a:endParaRPr>
        </a:p>
        <a:p>
          <a:endParaRPr lang="es-ES" sz="1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145800</xdr:colOff>
      <xdr:row>24</xdr:row>
      <xdr:rowOff>101880</xdr:rowOff>
    </xdr:from>
    <xdr:to>
      <xdr:col>6</xdr:col>
      <xdr:colOff>459000</xdr:colOff>
      <xdr:row>51</xdr:row>
      <xdr:rowOff>152280</xdr:rowOff>
    </xdr:to>
    <xdr:graphicFrame>
      <xdr:nvGraphicFramePr>
        <xdr:cNvPr id="16" name="Chart -1022"/>
        <xdr:cNvGraphicFramePr/>
      </xdr:nvGraphicFramePr>
      <xdr:xfrm>
        <a:off x="663480" y="4343760"/>
        <a:ext cx="6427440" cy="420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36360</xdr:colOff>
      <xdr:row>1</xdr:row>
      <xdr:rowOff>12600</xdr:rowOff>
    </xdr:from>
    <xdr:to>
      <xdr:col>8</xdr:col>
      <xdr:colOff>12240</xdr:colOff>
      <xdr:row>3</xdr:row>
      <xdr:rowOff>88560</xdr:rowOff>
    </xdr:to>
    <xdr:sp>
      <xdr:nvSpPr>
        <xdr:cNvPr id="17" name="AutoShape 6"/>
        <xdr:cNvSpPr/>
      </xdr:nvSpPr>
      <xdr:spPr>
        <a:xfrm>
          <a:off x="204480" y="164880"/>
          <a:ext cx="7403760" cy="3808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7360" rIns="27360" tIns="27360" bIns="0" anchor="t">
          <a:noAutofit/>
        </a:bodyPr>
        <a:p>
          <a:pPr algn="ctr"/>
          <a:r>
            <a:rPr lang="es-ES" sz="1600" b="1" u="none" strike="noStrike">
              <a:solidFill>
                <a:srgbClr val="008000"/>
              </a:solidFill>
              <a:effectLst/>
              <a:uFillTx/>
              <a:latin typeface="Rockwell"/>
            </a:rPr>
            <a:t>Expert Review</a:t>
          </a:r>
          <a:endParaRPr lang="es-ES" sz="16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12240</xdr:colOff>
      <xdr:row>1</xdr:row>
      <xdr:rowOff>0</xdr:rowOff>
    </xdr:from>
    <xdr:to>
      <xdr:col>5</xdr:col>
      <xdr:colOff>48240</xdr:colOff>
      <xdr:row>2</xdr:row>
      <xdr:rowOff>165240</xdr:rowOff>
    </xdr:to>
    <xdr:sp>
      <xdr:nvSpPr>
        <xdr:cNvPr id="18" name="AutoShape 1"/>
        <xdr:cNvSpPr/>
      </xdr:nvSpPr>
      <xdr:spPr>
        <a:xfrm>
          <a:off x="180360" y="190440"/>
          <a:ext cx="717624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Home Page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48240</xdr:colOff>
      <xdr:row>1</xdr:row>
      <xdr:rowOff>0</xdr:rowOff>
    </xdr:from>
    <xdr:to>
      <xdr:col>5</xdr:col>
      <xdr:colOff>84600</xdr:colOff>
      <xdr:row>2</xdr:row>
      <xdr:rowOff>165240</xdr:rowOff>
    </xdr:to>
    <xdr:sp>
      <xdr:nvSpPr>
        <xdr:cNvPr id="19" name="AutoShape 1"/>
        <xdr:cNvSpPr/>
      </xdr:nvSpPr>
      <xdr:spPr>
        <a:xfrm>
          <a:off x="216360" y="190440"/>
          <a:ext cx="717660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wrap="none"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Task Orientation &amp; Site Functionality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48240</xdr:colOff>
      <xdr:row>1</xdr:row>
      <xdr:rowOff>0</xdr:rowOff>
    </xdr:from>
    <xdr:to>
      <xdr:col>5</xdr:col>
      <xdr:colOff>84600</xdr:colOff>
      <xdr:row>2</xdr:row>
      <xdr:rowOff>165240</xdr:rowOff>
    </xdr:to>
    <xdr:sp>
      <xdr:nvSpPr>
        <xdr:cNvPr id="20" name="AutoShape 1"/>
        <xdr:cNvSpPr/>
      </xdr:nvSpPr>
      <xdr:spPr>
        <a:xfrm>
          <a:off x="216360" y="190440"/>
          <a:ext cx="717660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wrap="none"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Navigation &amp; Information Architecture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48240</xdr:colOff>
      <xdr:row>1</xdr:row>
      <xdr:rowOff>0</xdr:rowOff>
    </xdr:from>
    <xdr:to>
      <xdr:col>5</xdr:col>
      <xdr:colOff>84600</xdr:colOff>
      <xdr:row>2</xdr:row>
      <xdr:rowOff>165240</xdr:rowOff>
    </xdr:to>
    <xdr:sp>
      <xdr:nvSpPr>
        <xdr:cNvPr id="21" name="AutoShape 1"/>
        <xdr:cNvSpPr/>
      </xdr:nvSpPr>
      <xdr:spPr>
        <a:xfrm>
          <a:off x="216360" y="190440"/>
          <a:ext cx="717660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wrap="none"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Forms &amp; Data Entry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48240</xdr:colOff>
      <xdr:row>1</xdr:row>
      <xdr:rowOff>0</xdr:rowOff>
    </xdr:from>
    <xdr:to>
      <xdr:col>5</xdr:col>
      <xdr:colOff>84600</xdr:colOff>
      <xdr:row>2</xdr:row>
      <xdr:rowOff>165240</xdr:rowOff>
    </xdr:to>
    <xdr:sp>
      <xdr:nvSpPr>
        <xdr:cNvPr id="22" name="AutoShape 1"/>
        <xdr:cNvSpPr/>
      </xdr:nvSpPr>
      <xdr:spPr>
        <a:xfrm>
          <a:off x="216360" y="190440"/>
          <a:ext cx="717660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wrap="none"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Trust &amp; Credibility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24120</xdr:colOff>
      <xdr:row>1</xdr:row>
      <xdr:rowOff>0</xdr:rowOff>
    </xdr:from>
    <xdr:to>
      <xdr:col>5</xdr:col>
      <xdr:colOff>60480</xdr:colOff>
      <xdr:row>2</xdr:row>
      <xdr:rowOff>165240</xdr:rowOff>
    </xdr:to>
    <xdr:sp>
      <xdr:nvSpPr>
        <xdr:cNvPr id="23" name="AutoShape 1"/>
        <xdr:cNvSpPr/>
      </xdr:nvSpPr>
      <xdr:spPr>
        <a:xfrm>
          <a:off x="192240" y="190440"/>
          <a:ext cx="717660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wrap="none"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Writing &amp; Content Quality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24120</xdr:colOff>
      <xdr:row>1</xdr:row>
      <xdr:rowOff>0</xdr:rowOff>
    </xdr:from>
    <xdr:to>
      <xdr:col>5</xdr:col>
      <xdr:colOff>60480</xdr:colOff>
      <xdr:row>2</xdr:row>
      <xdr:rowOff>165240</xdr:rowOff>
    </xdr:to>
    <xdr:sp>
      <xdr:nvSpPr>
        <xdr:cNvPr id="24" name="AutoShape 1"/>
        <xdr:cNvSpPr/>
      </xdr:nvSpPr>
      <xdr:spPr>
        <a:xfrm>
          <a:off x="192240" y="190440"/>
          <a:ext cx="717660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wrap="none"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Page Layout &amp; Visual Design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48240</xdr:colOff>
      <xdr:row>1</xdr:row>
      <xdr:rowOff>0</xdr:rowOff>
    </xdr:from>
    <xdr:to>
      <xdr:col>5</xdr:col>
      <xdr:colOff>84600</xdr:colOff>
      <xdr:row>2</xdr:row>
      <xdr:rowOff>165240</xdr:rowOff>
    </xdr:to>
    <xdr:sp>
      <xdr:nvSpPr>
        <xdr:cNvPr id="25" name="AutoShape 1"/>
        <xdr:cNvSpPr/>
      </xdr:nvSpPr>
      <xdr:spPr>
        <a:xfrm>
          <a:off x="216360" y="190440"/>
          <a:ext cx="717660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wrap="none"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Search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24120</xdr:colOff>
      <xdr:row>1</xdr:row>
      <xdr:rowOff>0</xdr:rowOff>
    </xdr:from>
    <xdr:to>
      <xdr:col>5</xdr:col>
      <xdr:colOff>60480</xdr:colOff>
      <xdr:row>2</xdr:row>
      <xdr:rowOff>165240</xdr:rowOff>
    </xdr:to>
    <xdr:sp>
      <xdr:nvSpPr>
        <xdr:cNvPr id="26" name="AutoShape 1"/>
        <xdr:cNvSpPr/>
      </xdr:nvSpPr>
      <xdr:spPr>
        <a:xfrm>
          <a:off x="192240" y="190440"/>
          <a:ext cx="7176600" cy="3556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wrap="none" lIns="18000" rIns="18000" tIns="22680" bIns="0" anchor="t">
          <a:noAutofit/>
        </a:bodyPr>
        <a:p>
          <a:pPr algn="ctr"/>
          <a:r>
            <a:rPr lang="es-ES" sz="1200" b="0" u="none" strike="noStrike">
              <a:solidFill>
                <a:srgbClr val="008000"/>
              </a:solidFill>
              <a:effectLst/>
              <a:uFillTx/>
              <a:latin typeface="Rockwell"/>
            </a:rPr>
            <a:t>Help, Freedback &amp; Error Tolerance</a:t>
          </a:r>
          <a:endParaRPr lang="es-E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12600</xdr:rowOff>
    </xdr:from>
    <xdr:to>
      <xdr:col>10</xdr:col>
      <xdr:colOff>148320</xdr:colOff>
      <xdr:row>3</xdr:row>
      <xdr:rowOff>88560</xdr:rowOff>
    </xdr:to>
    <xdr:sp>
      <xdr:nvSpPr>
        <xdr:cNvPr id="27" name="AutoShape 6"/>
        <xdr:cNvSpPr/>
      </xdr:nvSpPr>
      <xdr:spPr>
        <a:xfrm>
          <a:off x="168120" y="164880"/>
          <a:ext cx="8713440" cy="380880"/>
        </a:xfrm>
        <a:prstGeom prst="roundRect">
          <a:avLst>
            <a:gd name="adj" fmla="val 50000"/>
          </a:avLst>
        </a:prstGeom>
        <a:gradFill rotWithShape="0">
          <a:gsLst>
            <a:gs pos="0">
              <a:srgbClr val="a4cda4"/>
            </a:gs>
            <a:gs pos="50000">
              <a:srgbClr val="ccffcc"/>
            </a:gs>
            <a:gs pos="100000">
              <a:srgbClr val="a4cda4"/>
            </a:gs>
          </a:gsLst>
          <a:lin ang="13500000"/>
        </a:gradFill>
        <a:ln w="38160">
          <a:solidFill>
            <a:srgbClr val="339966"/>
          </a:solidFill>
          <a:miter/>
        </a:ln>
        <a:effectLst>
          <a:outerShdw dist="17819" dir="2700000" rotWithShape="0">
            <a:srgbClr val="808080">
              <a:alpha val="75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lIns="27360" rIns="27360" tIns="27360" bIns="0" anchor="t">
          <a:noAutofit/>
        </a:bodyPr>
        <a:p>
          <a:pPr algn="ctr"/>
          <a:r>
            <a:rPr lang="es-ES" sz="1600" b="1" u="none" strike="noStrike">
              <a:solidFill>
                <a:srgbClr val="008000"/>
              </a:solidFill>
              <a:effectLst/>
              <a:uFillTx/>
              <a:latin typeface="Rockwell"/>
            </a:rPr>
            <a:t>Further Reading</a:t>
          </a:r>
          <a:endParaRPr lang="es-E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84240</xdr:colOff>
      <xdr:row>8</xdr:row>
      <xdr:rowOff>25560</xdr:rowOff>
    </xdr:from>
    <xdr:to>
      <xdr:col>10</xdr:col>
      <xdr:colOff>160920</xdr:colOff>
      <xdr:row>31</xdr:row>
      <xdr:rowOff>140040</xdr:rowOff>
    </xdr:to>
    <xdr:sp>
      <xdr:nvSpPr>
        <xdr:cNvPr id="28" name="TextBox 7">
          <a:hlinkClick r:id="rId1"/>
        </xdr:cNvPr>
        <xdr:cNvSpPr/>
      </xdr:nvSpPr>
      <xdr:spPr>
        <a:xfrm>
          <a:off x="252360" y="1244880"/>
          <a:ext cx="8641800" cy="36194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lang="es-ES" sz="1400" b="1" u="none" strike="noStrike">
              <a:solidFill>
                <a:srgbClr val="000000"/>
              </a:solidFill>
              <a:effectLst/>
              <a:uFillTx/>
              <a:latin typeface="Rockwell"/>
            </a:rPr>
            <a:t>How to carry out a usability expert review</a:t>
          </a:r>
          <a:endParaRPr lang="es-ES" sz="1400" b="0" u="none" strike="noStrike">
            <a:effectLst/>
            <a:uFillTx/>
            <a:latin typeface="Times New Roman"/>
          </a:endParaRPr>
        </a:p>
        <a:p>
          <a:endParaRPr lang="es-ES" sz="1400" b="0" u="none" strike="noStrike">
            <a:effectLst/>
            <a:uFillTx/>
            <a:latin typeface="Times New Roman"/>
          </a:endParaRPr>
        </a:p>
        <a:p>
          <a:r>
            <a:rPr lang="es-ES" sz="1400" b="0" u="none" strike="noStrike">
              <a:solidFill>
                <a:srgbClr val="000000"/>
              </a:solidFill>
              <a:effectLst/>
              <a:uFillTx/>
              <a:latin typeface="Rockwell"/>
            </a:rPr>
            <a:t>If you like this spreadsheet, you'll love my online training course. The course reveals the practitioner secrets behind expert reviews and will teach you how to think like a usability expert.</a:t>
          </a:r>
          <a:endParaRPr lang="es-ES" sz="1400" b="0" u="none" strike="noStrike">
            <a:effectLst/>
            <a:uFillTx/>
            <a:latin typeface="Times New Roman"/>
          </a:endParaRPr>
        </a:p>
        <a:p>
          <a:endParaRPr lang="es-ES" sz="1400" b="0" u="none" strike="noStrike">
            <a:effectLst/>
            <a:uFillTx/>
            <a:latin typeface="Times New Roman"/>
          </a:endParaRPr>
        </a:p>
        <a:p>
          <a:r>
            <a:rPr lang="es-ES" sz="1400" b="0" u="none" strike="noStrike">
              <a:solidFill>
                <a:srgbClr val="000000"/>
              </a:solidFill>
              <a:effectLst/>
              <a:uFillTx/>
              <a:latin typeface="Rockwell"/>
            </a:rPr>
            <a:t>- Appreciate the difference between a usability inspection and someone’s personal opinion.</a:t>
          </a:r>
          <a:endParaRPr lang="es-ES" sz="1400" b="0" u="none" strike="noStrike">
            <a:effectLst/>
            <a:uFillTx/>
            <a:latin typeface="Times New Roman"/>
          </a:endParaRPr>
        </a:p>
        <a:p>
          <a:r>
            <a:rPr lang="es-ES" sz="1400" b="0" u="none" strike="noStrike">
              <a:solidFill>
                <a:srgbClr val="000000"/>
              </a:solidFill>
              <a:effectLst/>
              <a:uFillTx/>
              <a:latin typeface="Rockwell"/>
            </a:rPr>
            <a:t>- Learn and practice some quick techniques for carrying out usability reviews of prototypes and finished products.</a:t>
          </a:r>
          <a:endParaRPr lang="es-ES" sz="1400" b="0" u="none" strike="noStrike">
            <a:effectLst/>
            <a:uFillTx/>
            <a:latin typeface="Times New Roman"/>
          </a:endParaRPr>
        </a:p>
        <a:p>
          <a:r>
            <a:rPr lang="es-ES" sz="1400" b="0" u="none" strike="noStrike">
              <a:solidFill>
                <a:srgbClr val="000000"/>
              </a:solidFill>
              <a:effectLst/>
              <a:uFillTx/>
              <a:latin typeface="Rockwell"/>
            </a:rPr>
            <a:t>- Apply Jakob Nielsen’s heuristic evaluation technique to software, products and web sites.</a:t>
          </a:r>
          <a:endParaRPr lang="es-ES" sz="1400" b="0" u="none" strike="noStrike">
            <a:effectLst/>
            <a:uFillTx/>
            <a:latin typeface="Times New Roman"/>
          </a:endParaRPr>
        </a:p>
        <a:p>
          <a:r>
            <a:rPr lang="es-ES" sz="1400" b="0" u="none" strike="noStrike">
              <a:solidFill>
                <a:srgbClr val="000000"/>
              </a:solidFill>
              <a:effectLst/>
              <a:uFillTx/>
              <a:latin typeface="Rockwell"/>
            </a:rPr>
            <a:t>- Compare Nielsen's heuristics with other sets of guidelines, like ISO’s 7 dialogue principles, Shniederman’s 8 golden rules of dialog design and Tog’s 16 principles of interaction design</a:t>
          </a:r>
          <a:endParaRPr lang="es-ES" sz="1400" b="0" u="none" strike="noStrike">
            <a:effectLst/>
            <a:uFillTx/>
            <a:latin typeface="Times New Roman"/>
          </a:endParaRPr>
        </a:p>
        <a:p>
          <a:r>
            <a:rPr lang="es-ES" sz="1400" b="0" u="none" strike="noStrike">
              <a:solidFill>
                <a:srgbClr val="000000"/>
              </a:solidFill>
              <a:effectLst/>
              <a:uFillTx/>
              <a:latin typeface="Rockwell"/>
            </a:rPr>
            <a:t>- Uncover the elements of your design that lead new users to make errors, using the task-based cognitive walkthrough method.</a:t>
          </a:r>
          <a:endParaRPr lang="es-ES" sz="1400" b="0" u="none" strike="noStrike">
            <a:effectLst/>
            <a:uFillTx/>
            <a:latin typeface="Times New Roman"/>
          </a:endParaRPr>
        </a:p>
        <a:p>
          <a:endParaRPr lang="es-ES" sz="1400" b="0" u="none" strike="noStrike">
            <a:effectLst/>
            <a:uFillTx/>
            <a:latin typeface="Times New Roman"/>
          </a:endParaRPr>
        </a:p>
        <a:p>
          <a:r>
            <a:rPr lang="es-ES" sz="1400" b="0" u="sng" strike="noStrike">
              <a:solidFill>
                <a:srgbClr val="0000ff"/>
              </a:solidFill>
              <a:effectLst/>
              <a:uFillTx/>
              <a:latin typeface="Rockwell"/>
            </a:rPr>
            <a:t>https://www.udemy.com/ux-reviews/</a:t>
          </a:r>
          <a:endParaRPr lang="es-ES" sz="14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userfocus.co.uk/resources/guidelines.html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1" activeCellId="0" sqref="E71"/>
    </sheetView>
  </sheetViews>
  <sheetFormatPr defaultColWidth="11.0546875" defaultRowHeight="12" customHeight="false" zeroHeight="false" outlineLevelRow="0" outlineLevelCol="0"/>
  <cols>
    <col collapsed="false" customWidth="true" hidden="false" outlineLevel="0" max="1" min="1" style="0" width="2.32"/>
    <col collapsed="false" customWidth="true" hidden="false" outlineLevel="0" max="2" min="2" style="0" width="4.82"/>
    <col collapsed="false" customWidth="true" hidden="false" outlineLevel="0" max="3" min="3" style="0" width="38.99"/>
    <col collapsed="false" customWidth="true" hidden="false" outlineLevel="0" max="4" min="4" style="1" width="14.16"/>
    <col collapsed="false" customWidth="true" hidden="false" outlineLevel="0" max="6" min="5" style="1" width="15.66"/>
    <col collapsed="false" customWidth="true" hidden="false" outlineLevel="0" max="7" min="7" style="1" width="8.99"/>
    <col collapsed="false" customWidth="true" hidden="false" outlineLevel="0" max="8" min="8" style="1" width="4.33"/>
    <col collapsed="false" customWidth="true" hidden="false" outlineLevel="0" max="9" min="9" style="0" width="4.66"/>
  </cols>
  <sheetData>
    <row r="1" customFormat="false" ht="12" hidden="false" customHeight="false" outlineLevel="0" collapsed="false">
      <c r="G1" s="0"/>
    </row>
    <row r="7" customFormat="false" ht="12" hidden="false" customHeight="false" outlineLevel="0" collapsed="false">
      <c r="C7" s="2" t="s">
        <v>0</v>
      </c>
      <c r="D7" s="0"/>
    </row>
  </sheetData>
  <hyperlinks>
    <hyperlink ref="C7" r:id="rId1" display="Last updated: 22 October 2014. Check for the latest version."/>
  </hyperlink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0.828125" defaultRowHeight="12" customHeight="false" zeroHeight="false" outlineLevelRow="0" outlineLevelCol="0"/>
  <cols>
    <col collapsed="false" customWidth="true" hidden="false" outlineLevel="0" max="1" min="1" style="3" width="2.32"/>
    <col collapsed="false" customWidth="true" hidden="false" outlineLevel="0" max="2" min="2" style="3" width="4.82"/>
    <col collapsed="false" customWidth="true" hidden="false" outlineLevel="0" max="3" min="3" style="3" width="38.99"/>
    <col collapsed="false" customWidth="true" hidden="false" outlineLevel="0" max="4" min="4" style="4" width="14.16"/>
    <col collapsed="false" customWidth="true" hidden="false" outlineLevel="0" max="6" min="5" style="4" width="15.66"/>
    <col collapsed="false" customWidth="true" hidden="false" outlineLevel="0" max="7" min="7" style="4" width="8.99"/>
    <col collapsed="false" customWidth="true" hidden="false" outlineLevel="0" max="8" min="8" style="4" width="4.33"/>
    <col collapsed="false" customWidth="true" hidden="false" outlineLevel="0" max="9" min="9" style="3" width="4.66"/>
    <col collapsed="false" customWidth="false" hidden="false" outlineLevel="0" max="257" min="10" style="3" width="10.83"/>
  </cols>
  <sheetData>
    <row r="1" customFormat="false" ht="12" hidden="false" customHeight="false" outlineLevel="0" collapsed="false">
      <c r="G1" s="3"/>
    </row>
    <row r="11" customFormat="false" ht="16" hidden="false" customHeight="false" outlineLevel="0" collapsed="false">
      <c r="B11" s="5"/>
      <c r="C11" s="5" t="s">
        <v>1</v>
      </c>
      <c r="D11" s="6"/>
      <c r="E11" s="6"/>
      <c r="F11" s="6"/>
      <c r="G11" s="7"/>
      <c r="H11" s="8"/>
    </row>
    <row r="12" customFormat="false" ht="15" hidden="false" customHeight="false" outlineLevel="0" collapsed="false">
      <c r="B12" s="9"/>
      <c r="C12" s="10"/>
      <c r="D12" s="10"/>
      <c r="E12" s="10"/>
      <c r="F12" s="10"/>
      <c r="G12" s="10"/>
      <c r="H12" s="11"/>
    </row>
    <row r="13" customFormat="false" ht="15" hidden="false" customHeight="false" outlineLevel="0" collapsed="false">
      <c r="B13" s="12"/>
      <c r="C13" s="13"/>
      <c r="D13" s="13" t="s">
        <v>2</v>
      </c>
      <c r="E13" s="13" t="s">
        <v>3</v>
      </c>
      <c r="F13" s="13" t="s">
        <v>4</v>
      </c>
      <c r="G13" s="13" t="s">
        <v>5</v>
      </c>
      <c r="H13" s="14"/>
    </row>
    <row r="14" customFormat="false" ht="15" hidden="false" customHeight="false" outlineLevel="0" collapsed="false">
      <c r="B14" s="15"/>
      <c r="C14" s="13" t="s">
        <v>6</v>
      </c>
      <c r="D14" s="16" t="n">
        <f aca="false">SUM('Home Page'!D10:D29)</f>
        <v>0</v>
      </c>
      <c r="E14" s="16" t="n">
        <f aca="false">COUNTA('Home Page'!C10:C29)</f>
        <v>20</v>
      </c>
      <c r="F14" s="16" t="n">
        <f aca="false">COUNT('Home Page'!D10:D29)</f>
        <v>0</v>
      </c>
      <c r="G14" s="17" t="str">
        <f aca="false">IF(F14=0,"",(D14+F14)/(2*F14))</f>
        <v/>
      </c>
      <c r="H14" s="18"/>
    </row>
    <row r="15" customFormat="false" ht="15" hidden="false" customHeight="false" outlineLevel="0" collapsed="false">
      <c r="B15" s="15"/>
      <c r="C15" s="13" t="s">
        <v>7</v>
      </c>
      <c r="D15" s="16" t="n">
        <f aca="false">SUM('Task Orientation'!D10:D53)</f>
        <v>0</v>
      </c>
      <c r="E15" s="16" t="n">
        <f aca="false">COUNTA('Task Orientation'!C10:C53)</f>
        <v>44</v>
      </c>
      <c r="F15" s="16" t="n">
        <f aca="false">COUNT('Task Orientation'!D10:D53)</f>
        <v>0</v>
      </c>
      <c r="G15" s="17" t="str">
        <f aca="false">IF(F15=0,"",(D15+F15)/(2*F15))</f>
        <v/>
      </c>
      <c r="H15" s="18"/>
    </row>
    <row r="16" customFormat="false" ht="15" hidden="false" customHeight="false" outlineLevel="0" collapsed="false">
      <c r="B16" s="15"/>
      <c r="C16" s="13" t="s">
        <v>8</v>
      </c>
      <c r="D16" s="16" t="n">
        <f aca="false">SUM('Navigation &amp; IA'!D10:D38)</f>
        <v>0</v>
      </c>
      <c r="E16" s="16" t="n">
        <f aca="false">COUNTA('Navigation &amp; IA'!C10:C38)</f>
        <v>29</v>
      </c>
      <c r="F16" s="16" t="n">
        <f aca="false">COUNT('Navigation &amp; IA'!D10:D38)</f>
        <v>0</v>
      </c>
      <c r="G16" s="17" t="str">
        <f aca="false">IF(F16=0,"",(D16+F16)/(2*F16))</f>
        <v/>
      </c>
      <c r="H16" s="18"/>
    </row>
    <row r="17" customFormat="false" ht="15" hidden="false" customHeight="false" outlineLevel="0" collapsed="false">
      <c r="B17" s="15"/>
      <c r="C17" s="13" t="s">
        <v>9</v>
      </c>
      <c r="D17" s="16" t="n">
        <f aca="false">SUM('Forms &amp; Data Entry'!D10:D32)</f>
        <v>0</v>
      </c>
      <c r="E17" s="16" t="n">
        <f aca="false">COUNTA('Forms &amp; Data Entry'!C10:C32)</f>
        <v>23</v>
      </c>
      <c r="F17" s="16" t="n">
        <f aca="false">COUNT('Forms &amp; Data Entry'!D10:D32)</f>
        <v>0</v>
      </c>
      <c r="G17" s="17" t="str">
        <f aca="false">IF(F17=0,"",(D17+F17)/(2*F17))</f>
        <v/>
      </c>
      <c r="H17" s="18"/>
    </row>
    <row r="18" customFormat="false" ht="15" hidden="false" customHeight="false" outlineLevel="0" collapsed="false">
      <c r="B18" s="19"/>
      <c r="C18" s="13" t="s">
        <v>10</v>
      </c>
      <c r="D18" s="16" t="n">
        <f aca="false">SUM('Trust &amp; Credibility'!D10:D22)</f>
        <v>0</v>
      </c>
      <c r="E18" s="16" t="n">
        <f aca="false">COUNTA('Trust &amp; Credibility'!C10:C22)</f>
        <v>13</v>
      </c>
      <c r="F18" s="16" t="n">
        <f aca="false">COUNT('Trust &amp; Credibility'!D10:D22)</f>
        <v>0</v>
      </c>
      <c r="G18" s="17" t="str">
        <f aca="false">IF(F18=0,"",(D18+F18)/(2*F18))</f>
        <v/>
      </c>
      <c r="H18" s="18"/>
    </row>
    <row r="19" customFormat="false" ht="15" hidden="false" customHeight="false" outlineLevel="0" collapsed="false">
      <c r="B19" s="19"/>
      <c r="C19" s="13" t="s">
        <v>11</v>
      </c>
      <c r="D19" s="16" t="n">
        <f aca="false">SUM('Writing &amp; Content Quality'!D10:D32)</f>
        <v>0</v>
      </c>
      <c r="E19" s="16" t="n">
        <f aca="false">COUNTA('Writing &amp; Content Quality'!C10:C32)</f>
        <v>23</v>
      </c>
      <c r="F19" s="16" t="n">
        <f aca="false">COUNT('Writing &amp; Content Quality'!D10:D32)</f>
        <v>0</v>
      </c>
      <c r="G19" s="17" t="str">
        <f aca="false">IF(F19=0,"",(D19+F19)/(2*F19))</f>
        <v/>
      </c>
      <c r="H19" s="18"/>
    </row>
    <row r="20" customFormat="false" ht="15" hidden="false" customHeight="false" outlineLevel="0" collapsed="false">
      <c r="B20" s="19"/>
      <c r="C20" s="13" t="s">
        <v>12</v>
      </c>
      <c r="D20" s="16" t="n">
        <f aca="false">SUM('Page Layout &amp; Visual Design'!D10:D47)</f>
        <v>0</v>
      </c>
      <c r="E20" s="16" t="n">
        <f aca="false">COUNTA('Page Layout &amp; Visual Design'!C10:C47)</f>
        <v>38</v>
      </c>
      <c r="F20" s="16" t="n">
        <f aca="false">COUNT('Page Layout &amp; Visual Design'!D10:D47)</f>
        <v>0</v>
      </c>
      <c r="G20" s="17" t="str">
        <f aca="false">IF(F20=0,"",(D20+F20)/(2*F20))</f>
        <v/>
      </c>
      <c r="H20" s="18"/>
    </row>
    <row r="21" customFormat="false" ht="15" hidden="false" customHeight="false" outlineLevel="0" collapsed="false">
      <c r="B21" s="19"/>
      <c r="C21" s="13" t="s">
        <v>13</v>
      </c>
      <c r="D21" s="16" t="n">
        <f aca="false">SUM(Search!D10:D29)</f>
        <v>0</v>
      </c>
      <c r="E21" s="16" t="n">
        <f aca="false">COUNTA(Search!C10:C29)</f>
        <v>20</v>
      </c>
      <c r="F21" s="16" t="n">
        <f aca="false">COUNT(Search!D10:D29)</f>
        <v>0</v>
      </c>
      <c r="G21" s="17" t="str">
        <f aca="false">IF(F21=0,"",(D21+F21)/(2*F21))</f>
        <v/>
      </c>
      <c r="H21" s="18"/>
    </row>
    <row r="22" customFormat="false" ht="15" hidden="false" customHeight="false" outlineLevel="0" collapsed="false">
      <c r="B22" s="19"/>
      <c r="C22" s="13" t="s">
        <v>14</v>
      </c>
      <c r="D22" s="16" t="n">
        <f aca="false">SUM('Help, Feedback, Error Tolerance'!D10:D46)</f>
        <v>0</v>
      </c>
      <c r="E22" s="16" t="n">
        <f aca="false">COUNTA('Help, Feedback, Error Tolerance'!C10:C46)</f>
        <v>37</v>
      </c>
      <c r="F22" s="16" t="n">
        <f aca="false">COUNT('Help, Feedback, Error Tolerance'!D10:D46)</f>
        <v>0</v>
      </c>
      <c r="G22" s="17" t="str">
        <f aca="false">IF(F22=0,"",(D22+F22)/(2*F22))</f>
        <v/>
      </c>
      <c r="H22" s="18"/>
    </row>
    <row r="23" customFormat="false" ht="16" hidden="false" customHeight="false" outlineLevel="0" collapsed="false">
      <c r="B23" s="19"/>
      <c r="C23" s="20" t="s">
        <v>15</v>
      </c>
      <c r="D23" s="21"/>
      <c r="E23" s="21" t="n">
        <f aca="false">SUM(E14:E22)</f>
        <v>247</v>
      </c>
      <c r="F23" s="21" t="n">
        <f aca="false">SUM(F14:F22)</f>
        <v>0</v>
      </c>
      <c r="G23" s="22" t="str">
        <f aca="false">IF(G14="","",AVERAGE(G14:G22))</f>
        <v/>
      </c>
      <c r="H23" s="18"/>
    </row>
    <row r="24" customFormat="false" ht="17" hidden="false" customHeight="false" outlineLevel="0" collapsed="false">
      <c r="B24" s="23"/>
      <c r="C24" s="24"/>
      <c r="D24" s="24"/>
      <c r="E24" s="24"/>
      <c r="F24" s="24"/>
      <c r="G24" s="24"/>
      <c r="H24" s="25"/>
    </row>
    <row r="25" customFormat="false" ht="15" hidden="false" customHeight="false" outlineLevel="0" collapsed="false">
      <c r="B25" s="26"/>
      <c r="C25" s="26"/>
      <c r="D25" s="26"/>
      <c r="E25" s="26"/>
      <c r="F25" s="26"/>
      <c r="G25" s="26"/>
      <c r="H25" s="27"/>
    </row>
  </sheetData>
  <sheetProtection sheet="true" objects="true" scenarios="true"/>
  <conditionalFormatting sqref="C14:G23">
    <cfRule type="expression" priority="2" aboveAverage="0" equalAverage="0" bottom="0" percent="0" rank="0" text="" dxfId="0">
      <formula>MOD(ROW(),2)=0</formula>
    </cfRule>
  </conditionalFormatting>
  <printOptions headings="false" gridLines="false" gridLinesSet="true" horizontalCentered="false" verticalCentered="false"/>
  <pageMargins left="0.39375" right="0.39375" top="0.845138888888889" bottom="0.7875" header="0.39375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&amp;L© Userfocus Ltd 2005&amp;R&amp;P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18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19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20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21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22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23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24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25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26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27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28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29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30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3" hidden="false" customHeight="true" outlineLevel="0" collapsed="false">
      <c r="A23" s="36"/>
      <c r="B23" s="37"/>
      <c r="C23" s="38" t="s">
        <v>31</v>
      </c>
      <c r="D23" s="39"/>
      <c r="E23" s="40"/>
      <c r="F23" s="36"/>
      <c r="G23" s="36"/>
      <c r="H23" s="37"/>
      <c r="I23" s="41"/>
      <c r="J23" s="4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3" hidden="false" customHeight="true" outlineLevel="0" collapsed="false">
      <c r="A24" s="36"/>
      <c r="B24" s="37"/>
      <c r="C24" s="38" t="s">
        <v>32</v>
      </c>
      <c r="D24" s="39"/>
      <c r="E24" s="40"/>
      <c r="F24" s="36"/>
      <c r="G24" s="36"/>
      <c r="H24" s="37"/>
      <c r="I24" s="41"/>
      <c r="J24" s="4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3" hidden="false" customHeight="true" outlineLevel="0" collapsed="false">
      <c r="A25" s="36"/>
      <c r="B25" s="37"/>
      <c r="C25" s="38" t="s">
        <v>33</v>
      </c>
      <c r="D25" s="39"/>
      <c r="E25" s="40"/>
      <c r="F25" s="36"/>
      <c r="G25" s="36"/>
      <c r="H25" s="37"/>
      <c r="I25" s="41"/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3" hidden="false" customHeight="true" outlineLevel="0" collapsed="false">
      <c r="A26" s="36"/>
      <c r="B26" s="37"/>
      <c r="C26" s="38" t="s">
        <v>34</v>
      </c>
      <c r="D26" s="39"/>
      <c r="E26" s="40"/>
      <c r="F26" s="36"/>
      <c r="G26" s="36"/>
      <c r="H26" s="37"/>
      <c r="I26" s="41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customFormat="false" ht="23" hidden="false" customHeight="true" outlineLevel="0" collapsed="false">
      <c r="A27" s="36"/>
      <c r="B27" s="37"/>
      <c r="C27" s="38" t="s">
        <v>35</v>
      </c>
      <c r="D27" s="39"/>
      <c r="E27" s="40"/>
      <c r="F27" s="36"/>
      <c r="G27" s="36"/>
      <c r="H27" s="37"/>
      <c r="I27" s="41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3" hidden="false" customHeight="true" outlineLevel="0" collapsed="false">
      <c r="A28" s="36"/>
      <c r="B28" s="37"/>
      <c r="C28" s="38" t="s">
        <v>36</v>
      </c>
      <c r="D28" s="39"/>
      <c r="E28" s="40"/>
      <c r="F28" s="36"/>
      <c r="G28" s="36"/>
      <c r="H28" s="37"/>
      <c r="I28" s="41"/>
      <c r="J28" s="40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3" hidden="false" customHeight="true" outlineLevel="0" collapsed="false">
      <c r="A29" s="36"/>
      <c r="B29" s="37"/>
      <c r="C29" s="38" t="s">
        <v>37</v>
      </c>
      <c r="D29" s="39"/>
      <c r="E29" s="40"/>
      <c r="F29" s="36"/>
      <c r="G29" s="36"/>
      <c r="H29" s="37"/>
      <c r="I29" s="41"/>
      <c r="J29" s="40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16" hidden="false" customHeight="false" outlineLevel="0" collapsed="false">
      <c r="B30" s="42"/>
      <c r="C30" s="43"/>
      <c r="D30" s="43"/>
      <c r="E30" s="44"/>
      <c r="H30" s="42"/>
      <c r="I30" s="43"/>
      <c r="J30" s="44"/>
    </row>
  </sheetData>
  <sheetProtection sheet="true" objects="true" scenarios="true"/>
  <conditionalFormatting sqref="H10:J30 B10:E30">
    <cfRule type="expression" priority="2" aboveAverage="0" equalAverage="0" bottom="0" percent="0" rank="0" text="" dxfId="1">
      <formula>MOD(ROW(),2)=0</formula>
    </cfRule>
  </conditionalFormatting>
  <dataValidations count="1">
    <dataValidation allowBlank="true" errorStyle="stop" operator="between" showDropDown="false" showErrorMessage="true" showInputMessage="false" sqref="D10:D29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38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39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40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41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42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43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44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45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46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47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48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49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50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3" hidden="false" customHeight="true" outlineLevel="0" collapsed="false">
      <c r="A23" s="36"/>
      <c r="B23" s="37"/>
      <c r="C23" s="38" t="s">
        <v>51</v>
      </c>
      <c r="D23" s="39"/>
      <c r="E23" s="40"/>
      <c r="F23" s="36"/>
      <c r="G23" s="36"/>
      <c r="H23" s="37"/>
      <c r="I23" s="41"/>
      <c r="J23" s="4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3" hidden="false" customHeight="true" outlineLevel="0" collapsed="false">
      <c r="A24" s="36"/>
      <c r="B24" s="37"/>
      <c r="C24" s="38" t="s">
        <v>52</v>
      </c>
      <c r="D24" s="39"/>
      <c r="E24" s="40"/>
      <c r="F24" s="36"/>
      <c r="G24" s="36"/>
      <c r="H24" s="37"/>
      <c r="I24" s="41"/>
      <c r="J24" s="4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3" hidden="false" customHeight="true" outlineLevel="0" collapsed="false">
      <c r="A25" s="36"/>
      <c r="B25" s="37"/>
      <c r="C25" s="38" t="s">
        <v>53</v>
      </c>
      <c r="D25" s="39"/>
      <c r="E25" s="40"/>
      <c r="F25" s="36"/>
      <c r="G25" s="36"/>
      <c r="H25" s="37"/>
      <c r="I25" s="41"/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3" hidden="false" customHeight="true" outlineLevel="0" collapsed="false">
      <c r="A26" s="36"/>
      <c r="B26" s="37"/>
      <c r="C26" s="38" t="s">
        <v>54</v>
      </c>
      <c r="D26" s="39"/>
      <c r="E26" s="40"/>
      <c r="F26" s="36"/>
      <c r="G26" s="36"/>
      <c r="H26" s="37"/>
      <c r="I26" s="41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customFormat="false" ht="23" hidden="false" customHeight="true" outlineLevel="0" collapsed="false">
      <c r="A27" s="36"/>
      <c r="B27" s="37"/>
      <c r="C27" s="38" t="s">
        <v>55</v>
      </c>
      <c r="D27" s="39"/>
      <c r="E27" s="40"/>
      <c r="F27" s="36"/>
      <c r="G27" s="36"/>
      <c r="H27" s="37"/>
      <c r="I27" s="41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3" hidden="false" customHeight="true" outlineLevel="0" collapsed="false">
      <c r="A28" s="36"/>
      <c r="B28" s="37"/>
      <c r="C28" s="38" t="s">
        <v>56</v>
      </c>
      <c r="D28" s="39"/>
      <c r="E28" s="40"/>
      <c r="F28" s="36"/>
      <c r="G28" s="36"/>
      <c r="H28" s="37"/>
      <c r="I28" s="41"/>
      <c r="J28" s="40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3" hidden="false" customHeight="true" outlineLevel="0" collapsed="false">
      <c r="A29" s="36"/>
      <c r="B29" s="37"/>
      <c r="C29" s="38" t="s">
        <v>57</v>
      </c>
      <c r="D29" s="39"/>
      <c r="E29" s="40"/>
      <c r="F29" s="36"/>
      <c r="G29" s="36"/>
      <c r="H29" s="37"/>
      <c r="I29" s="41"/>
      <c r="J29" s="40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23" hidden="false" customHeight="true" outlineLevel="0" collapsed="false">
      <c r="A30" s="36"/>
      <c r="B30" s="37"/>
      <c r="C30" s="38" t="s">
        <v>58</v>
      </c>
      <c r="D30" s="39"/>
      <c r="E30" s="40"/>
      <c r="F30" s="36"/>
      <c r="G30" s="36"/>
      <c r="H30" s="37"/>
      <c r="I30" s="41"/>
      <c r="J30" s="40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customFormat="false" ht="23" hidden="false" customHeight="true" outlineLevel="0" collapsed="false">
      <c r="A31" s="36"/>
      <c r="B31" s="37"/>
      <c r="C31" s="38" t="s">
        <v>59</v>
      </c>
      <c r="D31" s="39"/>
      <c r="E31" s="40"/>
      <c r="F31" s="36"/>
      <c r="G31" s="36"/>
      <c r="H31" s="37"/>
      <c r="I31" s="41"/>
      <c r="J31" s="40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</row>
    <row r="32" customFormat="false" ht="23" hidden="false" customHeight="true" outlineLevel="0" collapsed="false">
      <c r="A32" s="36"/>
      <c r="B32" s="37"/>
      <c r="C32" s="38" t="s">
        <v>60</v>
      </c>
      <c r="D32" s="39"/>
      <c r="E32" s="40"/>
      <c r="F32" s="36"/>
      <c r="G32" s="36"/>
      <c r="H32" s="37"/>
      <c r="I32" s="41"/>
      <c r="J32" s="40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</row>
    <row r="33" customFormat="false" ht="23" hidden="false" customHeight="true" outlineLevel="0" collapsed="false">
      <c r="A33" s="36"/>
      <c r="B33" s="37"/>
      <c r="C33" s="38" t="s">
        <v>61</v>
      </c>
      <c r="D33" s="39"/>
      <c r="E33" s="40"/>
      <c r="F33" s="36"/>
      <c r="G33" s="36"/>
      <c r="H33" s="37"/>
      <c r="I33" s="41"/>
      <c r="J33" s="40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</row>
    <row r="34" customFormat="false" ht="23" hidden="false" customHeight="true" outlineLevel="0" collapsed="false">
      <c r="A34" s="36"/>
      <c r="B34" s="37"/>
      <c r="C34" s="38" t="s">
        <v>62</v>
      </c>
      <c r="D34" s="39"/>
      <c r="E34" s="40"/>
      <c r="F34" s="36"/>
      <c r="G34" s="36"/>
      <c r="H34" s="37"/>
      <c r="I34" s="41"/>
      <c r="J34" s="40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</row>
    <row r="35" customFormat="false" ht="23" hidden="false" customHeight="true" outlineLevel="0" collapsed="false">
      <c r="A35" s="36"/>
      <c r="B35" s="37"/>
      <c r="C35" s="38" t="s">
        <v>63</v>
      </c>
      <c r="D35" s="39"/>
      <c r="E35" s="40"/>
      <c r="F35" s="36"/>
      <c r="G35" s="36"/>
      <c r="H35" s="37"/>
      <c r="I35" s="41"/>
      <c r="J35" s="40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</row>
    <row r="36" customFormat="false" ht="23" hidden="false" customHeight="true" outlineLevel="0" collapsed="false">
      <c r="A36" s="36"/>
      <c r="B36" s="37"/>
      <c r="C36" s="38" t="s">
        <v>64</v>
      </c>
      <c r="D36" s="39"/>
      <c r="E36" s="40"/>
      <c r="F36" s="36"/>
      <c r="G36" s="36"/>
      <c r="H36" s="37"/>
      <c r="I36" s="41"/>
      <c r="J36" s="40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</row>
    <row r="37" customFormat="false" ht="23" hidden="false" customHeight="true" outlineLevel="0" collapsed="false">
      <c r="A37" s="36"/>
      <c r="B37" s="37"/>
      <c r="C37" s="38" t="s">
        <v>65</v>
      </c>
      <c r="D37" s="39"/>
      <c r="E37" s="40"/>
      <c r="F37" s="36"/>
      <c r="G37" s="36"/>
      <c r="H37" s="37"/>
      <c r="I37" s="41"/>
      <c r="J37" s="40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</row>
    <row r="38" customFormat="false" ht="23" hidden="false" customHeight="true" outlineLevel="0" collapsed="false">
      <c r="A38" s="36"/>
      <c r="B38" s="37"/>
      <c r="C38" s="38" t="s">
        <v>66</v>
      </c>
      <c r="D38" s="39"/>
      <c r="E38" s="40"/>
      <c r="F38" s="36"/>
      <c r="G38" s="36"/>
      <c r="H38" s="37"/>
      <c r="I38" s="41"/>
      <c r="J38" s="40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</row>
    <row r="39" customFormat="false" ht="23" hidden="false" customHeight="true" outlineLevel="0" collapsed="false">
      <c r="A39" s="36"/>
      <c r="B39" s="37"/>
      <c r="C39" s="38" t="s">
        <v>67</v>
      </c>
      <c r="D39" s="39"/>
      <c r="E39" s="40"/>
      <c r="F39" s="36"/>
      <c r="G39" s="36"/>
      <c r="H39" s="37"/>
      <c r="I39" s="41"/>
      <c r="J39" s="40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</row>
    <row r="40" customFormat="false" ht="23" hidden="false" customHeight="true" outlineLevel="0" collapsed="false">
      <c r="A40" s="36"/>
      <c r="B40" s="37"/>
      <c r="C40" s="38" t="s">
        <v>68</v>
      </c>
      <c r="D40" s="39"/>
      <c r="E40" s="40"/>
      <c r="F40" s="36"/>
      <c r="G40" s="36"/>
      <c r="H40" s="37"/>
      <c r="I40" s="41"/>
      <c r="J40" s="40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</row>
    <row r="41" customFormat="false" ht="23" hidden="false" customHeight="true" outlineLevel="0" collapsed="false">
      <c r="A41" s="36"/>
      <c r="B41" s="37"/>
      <c r="C41" s="38" t="s">
        <v>69</v>
      </c>
      <c r="D41" s="39"/>
      <c r="E41" s="40"/>
      <c r="F41" s="36"/>
      <c r="G41" s="36"/>
      <c r="H41" s="37"/>
      <c r="I41" s="41"/>
      <c r="J41" s="40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</row>
    <row r="42" customFormat="false" ht="23" hidden="false" customHeight="true" outlineLevel="0" collapsed="false">
      <c r="A42" s="36"/>
      <c r="B42" s="37"/>
      <c r="C42" s="38" t="s">
        <v>70</v>
      </c>
      <c r="D42" s="39"/>
      <c r="E42" s="40"/>
      <c r="F42" s="36"/>
      <c r="G42" s="36"/>
      <c r="H42" s="37"/>
      <c r="I42" s="41"/>
      <c r="J42" s="40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</row>
    <row r="43" customFormat="false" ht="23" hidden="false" customHeight="true" outlineLevel="0" collapsed="false">
      <c r="A43" s="36"/>
      <c r="B43" s="37"/>
      <c r="C43" s="38" t="s">
        <v>71</v>
      </c>
      <c r="D43" s="39"/>
      <c r="E43" s="40"/>
      <c r="F43" s="36"/>
      <c r="G43" s="36"/>
      <c r="H43" s="37"/>
      <c r="I43" s="41"/>
      <c r="J43" s="40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</row>
    <row r="44" customFormat="false" ht="23" hidden="false" customHeight="true" outlineLevel="0" collapsed="false">
      <c r="A44" s="36"/>
      <c r="B44" s="37"/>
      <c r="C44" s="38" t="s">
        <v>72</v>
      </c>
      <c r="D44" s="39"/>
      <c r="E44" s="40"/>
      <c r="F44" s="36"/>
      <c r="G44" s="36"/>
      <c r="H44" s="37"/>
      <c r="I44" s="41"/>
      <c r="J44" s="40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</row>
    <row r="45" customFormat="false" ht="23" hidden="false" customHeight="true" outlineLevel="0" collapsed="false">
      <c r="A45" s="36"/>
      <c r="B45" s="37"/>
      <c r="C45" s="38" t="s">
        <v>73</v>
      </c>
      <c r="D45" s="39"/>
      <c r="E45" s="40"/>
      <c r="F45" s="36"/>
      <c r="G45" s="36"/>
      <c r="H45" s="37"/>
      <c r="I45" s="41"/>
      <c r="J45" s="40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</row>
    <row r="46" customFormat="false" ht="23" hidden="false" customHeight="true" outlineLevel="0" collapsed="false">
      <c r="A46" s="36"/>
      <c r="B46" s="37"/>
      <c r="C46" s="38" t="s">
        <v>74</v>
      </c>
      <c r="D46" s="39"/>
      <c r="E46" s="40"/>
      <c r="F46" s="36"/>
      <c r="G46" s="36"/>
      <c r="H46" s="37"/>
      <c r="I46" s="41"/>
      <c r="J46" s="40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</row>
    <row r="47" customFormat="false" ht="23" hidden="false" customHeight="true" outlineLevel="0" collapsed="false">
      <c r="A47" s="36"/>
      <c r="B47" s="37"/>
      <c r="C47" s="38" t="s">
        <v>75</v>
      </c>
      <c r="D47" s="39"/>
      <c r="E47" s="40"/>
      <c r="F47" s="36"/>
      <c r="G47" s="36"/>
      <c r="H47" s="37"/>
      <c r="I47" s="41"/>
      <c r="J47" s="40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</row>
    <row r="48" customFormat="false" ht="23" hidden="false" customHeight="true" outlineLevel="0" collapsed="false">
      <c r="A48" s="36"/>
      <c r="B48" s="37"/>
      <c r="C48" s="38" t="s">
        <v>76</v>
      </c>
      <c r="D48" s="39"/>
      <c r="E48" s="40"/>
      <c r="F48" s="36"/>
      <c r="G48" s="36"/>
      <c r="H48" s="37"/>
      <c r="I48" s="41"/>
      <c r="J48" s="40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</row>
    <row r="49" customFormat="false" ht="23" hidden="false" customHeight="true" outlineLevel="0" collapsed="false">
      <c r="A49" s="36"/>
      <c r="B49" s="37"/>
      <c r="C49" s="38" t="s">
        <v>77</v>
      </c>
      <c r="D49" s="39"/>
      <c r="E49" s="40"/>
      <c r="F49" s="36"/>
      <c r="G49" s="36"/>
      <c r="H49" s="37"/>
      <c r="I49" s="41"/>
      <c r="J49" s="40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</row>
    <row r="50" customFormat="false" ht="23" hidden="false" customHeight="true" outlineLevel="0" collapsed="false">
      <c r="A50" s="36"/>
      <c r="B50" s="37"/>
      <c r="C50" s="38" t="s">
        <v>78</v>
      </c>
      <c r="D50" s="39"/>
      <c r="E50" s="40"/>
      <c r="F50" s="36"/>
      <c r="G50" s="36"/>
      <c r="H50" s="37"/>
      <c r="I50" s="41"/>
      <c r="J50" s="40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</row>
    <row r="51" customFormat="false" ht="23" hidden="false" customHeight="true" outlineLevel="0" collapsed="false">
      <c r="A51" s="36"/>
      <c r="B51" s="37"/>
      <c r="C51" s="38" t="s">
        <v>79</v>
      </c>
      <c r="D51" s="39"/>
      <c r="E51" s="40"/>
      <c r="F51" s="36"/>
      <c r="G51" s="36"/>
      <c r="H51" s="37"/>
      <c r="I51" s="41"/>
      <c r="J51" s="40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</row>
    <row r="52" customFormat="false" ht="23" hidden="false" customHeight="true" outlineLevel="0" collapsed="false">
      <c r="A52" s="36"/>
      <c r="B52" s="37"/>
      <c r="C52" s="38" t="s">
        <v>80</v>
      </c>
      <c r="D52" s="39"/>
      <c r="E52" s="40"/>
      <c r="F52" s="36"/>
      <c r="G52" s="36"/>
      <c r="H52" s="37"/>
      <c r="I52" s="41"/>
      <c r="J52" s="40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</row>
    <row r="53" customFormat="false" ht="23" hidden="false" customHeight="true" outlineLevel="0" collapsed="false">
      <c r="A53" s="36"/>
      <c r="B53" s="37"/>
      <c r="C53" s="38" t="s">
        <v>81</v>
      </c>
      <c r="D53" s="39"/>
      <c r="E53" s="40"/>
      <c r="F53" s="36"/>
      <c r="G53" s="36"/>
      <c r="H53" s="37"/>
      <c r="I53" s="41"/>
      <c r="J53" s="40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  <c r="GS53" s="36"/>
      <c r="GT53" s="36"/>
      <c r="GU53" s="36"/>
      <c r="GV53" s="36"/>
      <c r="GW53" s="36"/>
      <c r="GX53" s="36"/>
      <c r="GY53" s="36"/>
      <c r="GZ53" s="36"/>
      <c r="HA53" s="36"/>
      <c r="HB53" s="36"/>
      <c r="HC53" s="36"/>
      <c r="HD53" s="36"/>
      <c r="HE53" s="36"/>
      <c r="HF53" s="36"/>
      <c r="HG53" s="36"/>
      <c r="HH53" s="36"/>
      <c r="HI53" s="36"/>
      <c r="HJ53" s="36"/>
      <c r="HK53" s="36"/>
      <c r="HL53" s="36"/>
      <c r="HM53" s="36"/>
      <c r="HN53" s="36"/>
      <c r="HO53" s="36"/>
      <c r="HP53" s="36"/>
      <c r="HQ53" s="36"/>
      <c r="HR53" s="36"/>
      <c r="HS53" s="36"/>
      <c r="HT53" s="36"/>
      <c r="HU53" s="36"/>
      <c r="HV53" s="36"/>
      <c r="HW53" s="36"/>
      <c r="HX53" s="36"/>
      <c r="HY53" s="36"/>
      <c r="HZ53" s="36"/>
      <c r="IA53" s="36"/>
      <c r="IB53" s="36"/>
      <c r="IC53" s="36"/>
      <c r="ID53" s="36"/>
      <c r="IE53" s="36"/>
      <c r="IF53" s="36"/>
      <c r="IG53" s="36"/>
      <c r="IH53" s="36"/>
      <c r="II53" s="36"/>
      <c r="IJ53" s="36"/>
      <c r="IK53" s="36"/>
      <c r="IL53" s="36"/>
      <c r="IM53" s="36"/>
      <c r="IN53" s="36"/>
      <c r="IO53" s="36"/>
      <c r="IP53" s="36"/>
      <c r="IQ53" s="36"/>
      <c r="IR53" s="36"/>
      <c r="IS53" s="36"/>
      <c r="IT53" s="36"/>
      <c r="IU53" s="36"/>
      <c r="IV53" s="36"/>
      <c r="IW53" s="36"/>
    </row>
    <row r="54" customFormat="false" ht="16" hidden="false" customHeight="false" outlineLevel="0" collapsed="false">
      <c r="B54" s="42"/>
      <c r="C54" s="43"/>
      <c r="D54" s="43"/>
      <c r="E54" s="44"/>
      <c r="H54" s="42"/>
      <c r="I54" s="43"/>
      <c r="J54" s="44"/>
    </row>
  </sheetData>
  <sheetProtection sheet="true" objects="true" scenarios="true"/>
  <conditionalFormatting sqref="H10:J54 B10:E54">
    <cfRule type="expression" priority="2" aboveAverage="0" equalAverage="0" bottom="0" percent="0" rank="0" text="" dxfId="2">
      <formula>MOD(ROW(),2)=0</formula>
    </cfRule>
  </conditionalFormatting>
  <dataValidations count="1">
    <dataValidation allowBlank="true" errorStyle="stop" operator="between" showDropDown="false" showErrorMessage="true" showInputMessage="false" sqref="D10:D53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82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83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84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85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86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87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88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89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90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91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92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93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94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3" hidden="false" customHeight="true" outlineLevel="0" collapsed="false">
      <c r="A23" s="36"/>
      <c r="B23" s="37"/>
      <c r="C23" s="38" t="s">
        <v>95</v>
      </c>
      <c r="D23" s="39"/>
      <c r="E23" s="40"/>
      <c r="F23" s="36"/>
      <c r="G23" s="36"/>
      <c r="H23" s="37"/>
      <c r="I23" s="41"/>
      <c r="J23" s="4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3" hidden="false" customHeight="true" outlineLevel="0" collapsed="false">
      <c r="A24" s="36"/>
      <c r="B24" s="37"/>
      <c r="C24" s="38" t="s">
        <v>96</v>
      </c>
      <c r="D24" s="39"/>
      <c r="E24" s="40"/>
      <c r="F24" s="36"/>
      <c r="G24" s="36"/>
      <c r="H24" s="37"/>
      <c r="I24" s="41"/>
      <c r="J24" s="4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3" hidden="false" customHeight="true" outlineLevel="0" collapsed="false">
      <c r="A25" s="36"/>
      <c r="B25" s="37"/>
      <c r="C25" s="38" t="s">
        <v>97</v>
      </c>
      <c r="D25" s="39"/>
      <c r="E25" s="40"/>
      <c r="F25" s="36"/>
      <c r="G25" s="36"/>
      <c r="H25" s="37"/>
      <c r="I25" s="41"/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3" hidden="false" customHeight="true" outlineLevel="0" collapsed="false">
      <c r="A26" s="36"/>
      <c r="B26" s="37"/>
      <c r="C26" s="38" t="s">
        <v>98</v>
      </c>
      <c r="D26" s="39"/>
      <c r="E26" s="40"/>
      <c r="F26" s="36"/>
      <c r="G26" s="36"/>
      <c r="H26" s="37"/>
      <c r="I26" s="41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customFormat="false" ht="23" hidden="false" customHeight="true" outlineLevel="0" collapsed="false">
      <c r="A27" s="36"/>
      <c r="B27" s="37"/>
      <c r="C27" s="38" t="s">
        <v>99</v>
      </c>
      <c r="D27" s="39"/>
      <c r="E27" s="40"/>
      <c r="F27" s="36"/>
      <c r="G27" s="36"/>
      <c r="H27" s="37"/>
      <c r="I27" s="41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3" hidden="false" customHeight="true" outlineLevel="0" collapsed="false">
      <c r="A28" s="36"/>
      <c r="B28" s="37"/>
      <c r="C28" s="38" t="s">
        <v>100</v>
      </c>
      <c r="D28" s="39"/>
      <c r="E28" s="40"/>
      <c r="F28" s="36"/>
      <c r="G28" s="36"/>
      <c r="H28" s="37"/>
      <c r="I28" s="41"/>
      <c r="J28" s="40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3" hidden="false" customHeight="true" outlineLevel="0" collapsed="false">
      <c r="A29" s="36"/>
      <c r="B29" s="37"/>
      <c r="C29" s="38" t="s">
        <v>101</v>
      </c>
      <c r="D29" s="39"/>
      <c r="E29" s="40"/>
      <c r="F29" s="36"/>
      <c r="G29" s="36"/>
      <c r="H29" s="37"/>
      <c r="I29" s="41"/>
      <c r="J29" s="40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23" hidden="false" customHeight="true" outlineLevel="0" collapsed="false">
      <c r="A30" s="36"/>
      <c r="B30" s="37"/>
      <c r="C30" s="38" t="s">
        <v>102</v>
      </c>
      <c r="D30" s="39"/>
      <c r="E30" s="40"/>
      <c r="F30" s="36"/>
      <c r="G30" s="36"/>
      <c r="H30" s="37"/>
      <c r="I30" s="41"/>
      <c r="J30" s="40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customFormat="false" ht="23" hidden="false" customHeight="true" outlineLevel="0" collapsed="false">
      <c r="A31" s="36"/>
      <c r="B31" s="37"/>
      <c r="C31" s="38" t="s">
        <v>103</v>
      </c>
      <c r="D31" s="39"/>
      <c r="E31" s="40"/>
      <c r="F31" s="36"/>
      <c r="G31" s="36"/>
      <c r="H31" s="37"/>
      <c r="I31" s="41"/>
      <c r="J31" s="40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</row>
    <row r="32" customFormat="false" ht="23" hidden="false" customHeight="true" outlineLevel="0" collapsed="false">
      <c r="A32" s="36"/>
      <c r="B32" s="37"/>
      <c r="C32" s="38" t="s">
        <v>104</v>
      </c>
      <c r="D32" s="39"/>
      <c r="E32" s="40"/>
      <c r="F32" s="36"/>
      <c r="G32" s="36"/>
      <c r="H32" s="37"/>
      <c r="I32" s="41"/>
      <c r="J32" s="40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</row>
    <row r="33" customFormat="false" ht="23" hidden="false" customHeight="true" outlineLevel="0" collapsed="false">
      <c r="A33" s="36"/>
      <c r="B33" s="37"/>
      <c r="C33" s="38" t="s">
        <v>105</v>
      </c>
      <c r="D33" s="39"/>
      <c r="E33" s="40"/>
      <c r="F33" s="36"/>
      <c r="G33" s="36"/>
      <c r="H33" s="37"/>
      <c r="I33" s="41"/>
      <c r="J33" s="40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</row>
    <row r="34" customFormat="false" ht="23" hidden="false" customHeight="true" outlineLevel="0" collapsed="false">
      <c r="A34" s="36"/>
      <c r="B34" s="37"/>
      <c r="C34" s="38" t="s">
        <v>106</v>
      </c>
      <c r="D34" s="39"/>
      <c r="E34" s="40"/>
      <c r="F34" s="36"/>
      <c r="G34" s="36"/>
      <c r="H34" s="37"/>
      <c r="I34" s="41"/>
      <c r="J34" s="40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</row>
    <row r="35" customFormat="false" ht="23" hidden="false" customHeight="true" outlineLevel="0" collapsed="false">
      <c r="A35" s="36"/>
      <c r="B35" s="37"/>
      <c r="C35" s="38" t="s">
        <v>107</v>
      </c>
      <c r="D35" s="39"/>
      <c r="E35" s="40"/>
      <c r="F35" s="36"/>
      <c r="G35" s="36"/>
      <c r="H35" s="37"/>
      <c r="I35" s="41"/>
      <c r="J35" s="40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</row>
    <row r="36" customFormat="false" ht="23" hidden="false" customHeight="true" outlineLevel="0" collapsed="false">
      <c r="A36" s="36"/>
      <c r="B36" s="37"/>
      <c r="C36" s="38" t="s">
        <v>108</v>
      </c>
      <c r="D36" s="39"/>
      <c r="E36" s="40"/>
      <c r="F36" s="36"/>
      <c r="G36" s="36"/>
      <c r="H36" s="37"/>
      <c r="I36" s="41"/>
      <c r="J36" s="40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</row>
    <row r="37" customFormat="false" ht="23" hidden="false" customHeight="true" outlineLevel="0" collapsed="false">
      <c r="A37" s="36"/>
      <c r="B37" s="37"/>
      <c r="C37" s="38" t="s">
        <v>109</v>
      </c>
      <c r="D37" s="39"/>
      <c r="E37" s="40"/>
      <c r="F37" s="36"/>
      <c r="G37" s="36"/>
      <c r="H37" s="37"/>
      <c r="I37" s="41"/>
      <c r="J37" s="40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</row>
    <row r="38" customFormat="false" ht="23" hidden="false" customHeight="true" outlineLevel="0" collapsed="false">
      <c r="A38" s="36"/>
      <c r="B38" s="37"/>
      <c r="C38" s="38" t="s">
        <v>110</v>
      </c>
      <c r="D38" s="39"/>
      <c r="E38" s="40"/>
      <c r="F38" s="36"/>
      <c r="G38" s="36"/>
      <c r="H38" s="37"/>
      <c r="I38" s="41"/>
      <c r="J38" s="40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</row>
    <row r="39" customFormat="false" ht="16" hidden="false" customHeight="false" outlineLevel="0" collapsed="false">
      <c r="B39" s="42"/>
      <c r="C39" s="43"/>
      <c r="D39" s="43"/>
      <c r="E39" s="44"/>
      <c r="H39" s="42"/>
      <c r="I39" s="43"/>
      <c r="J39" s="44"/>
    </row>
  </sheetData>
  <sheetProtection sheet="true" objects="true" scenarios="true"/>
  <conditionalFormatting sqref="H10:J39 B10:E39">
    <cfRule type="expression" priority="2" aboveAverage="0" equalAverage="0" bottom="0" percent="0" rank="0" text="" dxfId="3">
      <formula>MOD(ROW(),2)=0</formula>
    </cfRule>
  </conditionalFormatting>
  <dataValidations count="1">
    <dataValidation allowBlank="true" errorStyle="stop" operator="between" showDropDown="false" showErrorMessage="true" showInputMessage="false" sqref="D10:D38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111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112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113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114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115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116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117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118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119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120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121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122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123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3" hidden="false" customHeight="true" outlineLevel="0" collapsed="false">
      <c r="A23" s="36"/>
      <c r="B23" s="37"/>
      <c r="C23" s="38" t="s">
        <v>124</v>
      </c>
      <c r="D23" s="39"/>
      <c r="E23" s="40"/>
      <c r="F23" s="36"/>
      <c r="G23" s="36"/>
      <c r="H23" s="37"/>
      <c r="I23" s="41"/>
      <c r="J23" s="4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3" hidden="false" customHeight="true" outlineLevel="0" collapsed="false">
      <c r="A24" s="36"/>
      <c r="B24" s="37"/>
      <c r="C24" s="38" t="s">
        <v>125</v>
      </c>
      <c r="D24" s="39"/>
      <c r="E24" s="40"/>
      <c r="F24" s="36"/>
      <c r="G24" s="36"/>
      <c r="H24" s="37"/>
      <c r="I24" s="41"/>
      <c r="J24" s="4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3" hidden="false" customHeight="true" outlineLevel="0" collapsed="false">
      <c r="A25" s="36"/>
      <c r="B25" s="37"/>
      <c r="C25" s="38" t="s">
        <v>126</v>
      </c>
      <c r="D25" s="39"/>
      <c r="E25" s="40"/>
      <c r="F25" s="36"/>
      <c r="G25" s="36"/>
      <c r="H25" s="37"/>
      <c r="I25" s="41"/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3" hidden="false" customHeight="true" outlineLevel="0" collapsed="false">
      <c r="A26" s="36"/>
      <c r="B26" s="37"/>
      <c r="C26" s="38" t="s">
        <v>127</v>
      </c>
      <c r="D26" s="39"/>
      <c r="E26" s="40"/>
      <c r="F26" s="36"/>
      <c r="G26" s="36"/>
      <c r="H26" s="37"/>
      <c r="I26" s="41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customFormat="false" ht="23" hidden="false" customHeight="true" outlineLevel="0" collapsed="false">
      <c r="A27" s="36"/>
      <c r="B27" s="37"/>
      <c r="C27" s="38" t="s">
        <v>128</v>
      </c>
      <c r="D27" s="39"/>
      <c r="E27" s="40"/>
      <c r="F27" s="36"/>
      <c r="G27" s="36"/>
      <c r="H27" s="37"/>
      <c r="I27" s="41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3" hidden="false" customHeight="true" outlineLevel="0" collapsed="false">
      <c r="A28" s="36"/>
      <c r="B28" s="37"/>
      <c r="C28" s="38" t="s">
        <v>129</v>
      </c>
      <c r="D28" s="39"/>
      <c r="E28" s="40"/>
      <c r="F28" s="36"/>
      <c r="G28" s="36"/>
      <c r="H28" s="37"/>
      <c r="I28" s="41"/>
      <c r="J28" s="40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3" hidden="false" customHeight="true" outlineLevel="0" collapsed="false">
      <c r="A29" s="36"/>
      <c r="B29" s="37"/>
      <c r="C29" s="38" t="s">
        <v>130</v>
      </c>
      <c r="D29" s="39"/>
      <c r="E29" s="40"/>
      <c r="F29" s="36"/>
      <c r="G29" s="36"/>
      <c r="H29" s="37"/>
      <c r="I29" s="41"/>
      <c r="J29" s="40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23" hidden="false" customHeight="true" outlineLevel="0" collapsed="false">
      <c r="A30" s="36"/>
      <c r="B30" s="37"/>
      <c r="C30" s="38" t="s">
        <v>131</v>
      </c>
      <c r="D30" s="39"/>
      <c r="E30" s="40"/>
      <c r="F30" s="36"/>
      <c r="G30" s="36"/>
      <c r="H30" s="37"/>
      <c r="I30" s="41"/>
      <c r="J30" s="40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customFormat="false" ht="23" hidden="false" customHeight="true" outlineLevel="0" collapsed="false">
      <c r="A31" s="36"/>
      <c r="B31" s="37"/>
      <c r="C31" s="38" t="s">
        <v>132</v>
      </c>
      <c r="D31" s="39"/>
      <c r="E31" s="40"/>
      <c r="F31" s="36"/>
      <c r="G31" s="36"/>
      <c r="H31" s="37"/>
      <c r="I31" s="41"/>
      <c r="J31" s="40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</row>
    <row r="32" customFormat="false" ht="23" hidden="false" customHeight="true" outlineLevel="0" collapsed="false">
      <c r="A32" s="36"/>
      <c r="B32" s="37"/>
      <c r="C32" s="38" t="s">
        <v>133</v>
      </c>
      <c r="D32" s="39"/>
      <c r="E32" s="40"/>
      <c r="F32" s="36"/>
      <c r="G32" s="36"/>
      <c r="H32" s="37"/>
      <c r="I32" s="41"/>
      <c r="J32" s="40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</row>
    <row r="33" customFormat="false" ht="16" hidden="false" customHeight="false" outlineLevel="0" collapsed="false">
      <c r="B33" s="42"/>
      <c r="C33" s="43"/>
      <c r="D33" s="43"/>
      <c r="E33" s="44"/>
      <c r="H33" s="42"/>
      <c r="I33" s="43"/>
      <c r="J33" s="44"/>
    </row>
  </sheetData>
  <sheetProtection sheet="true" objects="true" scenarios="true"/>
  <conditionalFormatting sqref="H10:J33 B10:E33">
    <cfRule type="expression" priority="2" aboveAverage="0" equalAverage="0" bottom="0" percent="0" rank="0" text="" dxfId="4">
      <formula>MOD(ROW(),2)=0</formula>
    </cfRule>
  </conditionalFormatting>
  <dataValidations count="1">
    <dataValidation allowBlank="true" errorStyle="stop" operator="between" showDropDown="false" showErrorMessage="true" showInputMessage="false" sqref="D10:D32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134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135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136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137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138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139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140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141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142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143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144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145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146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16" hidden="false" customHeight="false" outlineLevel="0" collapsed="false">
      <c r="B23" s="42"/>
      <c r="C23" s="43"/>
      <c r="D23" s="43"/>
      <c r="E23" s="44"/>
      <c r="H23" s="42"/>
      <c r="I23" s="43"/>
      <c r="J23" s="44"/>
    </row>
  </sheetData>
  <sheetProtection sheet="true" objects="true" scenarios="true"/>
  <conditionalFormatting sqref="H10:J23 B10:E23">
    <cfRule type="expression" priority="2" aboveAverage="0" equalAverage="0" bottom="0" percent="0" rank="0" text="" dxfId="5">
      <formula>MOD(ROW(),2)=0</formula>
    </cfRule>
  </conditionalFormatting>
  <dataValidations count="1">
    <dataValidation allowBlank="true" errorStyle="stop" operator="between" showDropDown="false" showErrorMessage="true" showInputMessage="false" sqref="D10:D22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147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148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149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150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151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152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153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154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155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156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157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158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159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3" hidden="false" customHeight="true" outlineLevel="0" collapsed="false">
      <c r="A23" s="36"/>
      <c r="B23" s="37"/>
      <c r="C23" s="38" t="s">
        <v>160</v>
      </c>
      <c r="D23" s="39"/>
      <c r="E23" s="40"/>
      <c r="F23" s="36"/>
      <c r="G23" s="36"/>
      <c r="H23" s="37"/>
      <c r="I23" s="41"/>
      <c r="J23" s="4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3" hidden="false" customHeight="true" outlineLevel="0" collapsed="false">
      <c r="A24" s="36"/>
      <c r="B24" s="37"/>
      <c r="C24" s="38" t="s">
        <v>161</v>
      </c>
      <c r="D24" s="39"/>
      <c r="E24" s="40"/>
      <c r="F24" s="36"/>
      <c r="G24" s="36"/>
      <c r="H24" s="37"/>
      <c r="I24" s="41"/>
      <c r="J24" s="4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3" hidden="false" customHeight="true" outlineLevel="0" collapsed="false">
      <c r="A25" s="36"/>
      <c r="B25" s="37"/>
      <c r="C25" s="38" t="s">
        <v>162</v>
      </c>
      <c r="D25" s="39"/>
      <c r="E25" s="40"/>
      <c r="F25" s="36"/>
      <c r="G25" s="36"/>
      <c r="H25" s="37"/>
      <c r="I25" s="41"/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3" hidden="false" customHeight="true" outlineLevel="0" collapsed="false">
      <c r="A26" s="36"/>
      <c r="B26" s="37"/>
      <c r="C26" s="38" t="s">
        <v>163</v>
      </c>
      <c r="D26" s="39"/>
      <c r="E26" s="40"/>
      <c r="F26" s="36"/>
      <c r="G26" s="36"/>
      <c r="H26" s="37"/>
      <c r="I26" s="41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customFormat="false" ht="23" hidden="false" customHeight="true" outlineLevel="0" collapsed="false">
      <c r="A27" s="36"/>
      <c r="B27" s="37"/>
      <c r="C27" s="38" t="s">
        <v>164</v>
      </c>
      <c r="D27" s="39"/>
      <c r="E27" s="40"/>
      <c r="F27" s="36"/>
      <c r="G27" s="36"/>
      <c r="H27" s="37"/>
      <c r="I27" s="41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3" hidden="false" customHeight="true" outlineLevel="0" collapsed="false">
      <c r="A28" s="36"/>
      <c r="B28" s="37"/>
      <c r="C28" s="38" t="s">
        <v>165</v>
      </c>
      <c r="D28" s="39"/>
      <c r="E28" s="40"/>
      <c r="F28" s="36"/>
      <c r="G28" s="36"/>
      <c r="H28" s="37"/>
      <c r="I28" s="41"/>
      <c r="J28" s="40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3" hidden="false" customHeight="true" outlineLevel="0" collapsed="false">
      <c r="A29" s="36"/>
      <c r="B29" s="37"/>
      <c r="C29" s="38" t="s">
        <v>166</v>
      </c>
      <c r="D29" s="39"/>
      <c r="E29" s="40"/>
      <c r="F29" s="36"/>
      <c r="G29" s="36"/>
      <c r="H29" s="37"/>
      <c r="I29" s="41"/>
      <c r="J29" s="40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23" hidden="false" customHeight="true" outlineLevel="0" collapsed="false">
      <c r="A30" s="36"/>
      <c r="B30" s="37"/>
      <c r="C30" s="38" t="s">
        <v>167</v>
      </c>
      <c r="D30" s="39"/>
      <c r="E30" s="40"/>
      <c r="F30" s="36"/>
      <c r="G30" s="36"/>
      <c r="H30" s="37"/>
      <c r="I30" s="41"/>
      <c r="J30" s="40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customFormat="false" ht="23" hidden="false" customHeight="true" outlineLevel="0" collapsed="false">
      <c r="A31" s="36"/>
      <c r="B31" s="37"/>
      <c r="C31" s="38" t="s">
        <v>168</v>
      </c>
      <c r="D31" s="39"/>
      <c r="E31" s="40"/>
      <c r="F31" s="36"/>
      <c r="G31" s="36"/>
      <c r="H31" s="37"/>
      <c r="I31" s="41"/>
      <c r="J31" s="40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</row>
    <row r="32" customFormat="false" ht="23" hidden="false" customHeight="true" outlineLevel="0" collapsed="false">
      <c r="A32" s="36"/>
      <c r="B32" s="37"/>
      <c r="C32" s="38" t="s">
        <v>169</v>
      </c>
      <c r="D32" s="39"/>
      <c r="E32" s="40"/>
      <c r="F32" s="36"/>
      <c r="G32" s="36"/>
      <c r="H32" s="37"/>
      <c r="I32" s="41"/>
      <c r="J32" s="40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</row>
    <row r="33" customFormat="false" ht="16" hidden="false" customHeight="false" outlineLevel="0" collapsed="false">
      <c r="B33" s="42"/>
      <c r="C33" s="43"/>
      <c r="D33" s="43"/>
      <c r="E33" s="44"/>
      <c r="H33" s="42"/>
      <c r="I33" s="43"/>
      <c r="J33" s="44"/>
    </row>
  </sheetData>
  <sheetProtection sheet="true" objects="true" scenarios="true"/>
  <conditionalFormatting sqref="H10:J33 B10:E33">
    <cfRule type="expression" priority="2" aboveAverage="0" equalAverage="0" bottom="0" percent="0" rank="0" text="" dxfId="6">
      <formula>MOD(ROW(),2)=0</formula>
    </cfRule>
  </conditionalFormatting>
  <dataValidations count="1">
    <dataValidation allowBlank="true" errorStyle="stop" operator="between" showDropDown="false" showErrorMessage="true" showInputMessage="false" sqref="D10:D32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170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171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172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173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174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175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176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177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178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179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180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181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182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3" hidden="false" customHeight="true" outlineLevel="0" collapsed="false">
      <c r="A23" s="36"/>
      <c r="B23" s="37"/>
      <c r="C23" s="38" t="s">
        <v>183</v>
      </c>
      <c r="D23" s="39"/>
      <c r="E23" s="40"/>
      <c r="F23" s="36"/>
      <c r="G23" s="36"/>
      <c r="H23" s="37"/>
      <c r="I23" s="41"/>
      <c r="J23" s="4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3" hidden="false" customHeight="true" outlineLevel="0" collapsed="false">
      <c r="A24" s="36"/>
      <c r="B24" s="37"/>
      <c r="C24" s="38" t="s">
        <v>184</v>
      </c>
      <c r="D24" s="39"/>
      <c r="E24" s="40"/>
      <c r="F24" s="36"/>
      <c r="G24" s="36"/>
      <c r="H24" s="37"/>
      <c r="I24" s="41"/>
      <c r="J24" s="4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3" hidden="false" customHeight="true" outlineLevel="0" collapsed="false">
      <c r="A25" s="36"/>
      <c r="B25" s="37"/>
      <c r="C25" s="38" t="s">
        <v>185</v>
      </c>
      <c r="D25" s="39"/>
      <c r="E25" s="40"/>
      <c r="F25" s="36"/>
      <c r="G25" s="36"/>
      <c r="H25" s="37"/>
      <c r="I25" s="41"/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3" hidden="false" customHeight="true" outlineLevel="0" collapsed="false">
      <c r="A26" s="36"/>
      <c r="B26" s="37"/>
      <c r="C26" s="38" t="s">
        <v>186</v>
      </c>
      <c r="D26" s="39"/>
      <c r="E26" s="40"/>
      <c r="F26" s="36"/>
      <c r="G26" s="36"/>
      <c r="H26" s="37"/>
      <c r="I26" s="41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customFormat="false" ht="23" hidden="false" customHeight="true" outlineLevel="0" collapsed="false">
      <c r="A27" s="36"/>
      <c r="B27" s="37"/>
      <c r="C27" s="38" t="s">
        <v>187</v>
      </c>
      <c r="D27" s="39"/>
      <c r="E27" s="40"/>
      <c r="F27" s="36"/>
      <c r="G27" s="36"/>
      <c r="H27" s="37"/>
      <c r="I27" s="41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3" hidden="false" customHeight="true" outlineLevel="0" collapsed="false">
      <c r="A28" s="36"/>
      <c r="B28" s="37"/>
      <c r="C28" s="38" t="s">
        <v>188</v>
      </c>
      <c r="D28" s="39"/>
      <c r="E28" s="40"/>
      <c r="F28" s="36"/>
      <c r="G28" s="36"/>
      <c r="H28" s="37"/>
      <c r="I28" s="41"/>
      <c r="J28" s="40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3" hidden="false" customHeight="true" outlineLevel="0" collapsed="false">
      <c r="A29" s="36"/>
      <c r="B29" s="37"/>
      <c r="C29" s="38" t="s">
        <v>189</v>
      </c>
      <c r="D29" s="39"/>
      <c r="E29" s="40"/>
      <c r="F29" s="36"/>
      <c r="G29" s="36"/>
      <c r="H29" s="37"/>
      <c r="I29" s="41"/>
      <c r="J29" s="40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23" hidden="false" customHeight="true" outlineLevel="0" collapsed="false">
      <c r="A30" s="36"/>
      <c r="B30" s="37"/>
      <c r="C30" s="38" t="s">
        <v>190</v>
      </c>
      <c r="D30" s="39"/>
      <c r="E30" s="40"/>
      <c r="F30" s="36"/>
      <c r="G30" s="36"/>
      <c r="H30" s="37"/>
      <c r="I30" s="41"/>
      <c r="J30" s="40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customFormat="false" ht="23" hidden="false" customHeight="true" outlineLevel="0" collapsed="false">
      <c r="A31" s="36"/>
      <c r="B31" s="37"/>
      <c r="C31" s="38" t="s">
        <v>191</v>
      </c>
      <c r="D31" s="39"/>
      <c r="E31" s="40"/>
      <c r="F31" s="36"/>
      <c r="G31" s="36"/>
      <c r="H31" s="37"/>
      <c r="I31" s="41"/>
      <c r="J31" s="40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</row>
    <row r="32" customFormat="false" ht="23" hidden="false" customHeight="true" outlineLevel="0" collapsed="false">
      <c r="A32" s="36"/>
      <c r="B32" s="37"/>
      <c r="C32" s="38" t="s">
        <v>192</v>
      </c>
      <c r="D32" s="39"/>
      <c r="E32" s="40"/>
      <c r="F32" s="36"/>
      <c r="G32" s="36"/>
      <c r="H32" s="37"/>
      <c r="I32" s="41"/>
      <c r="J32" s="40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</row>
    <row r="33" customFormat="false" ht="23" hidden="false" customHeight="true" outlineLevel="0" collapsed="false">
      <c r="A33" s="36"/>
      <c r="B33" s="37"/>
      <c r="C33" s="38" t="s">
        <v>193</v>
      </c>
      <c r="D33" s="39"/>
      <c r="E33" s="40"/>
      <c r="F33" s="36"/>
      <c r="G33" s="36"/>
      <c r="H33" s="37"/>
      <c r="I33" s="41"/>
      <c r="J33" s="40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</row>
    <row r="34" customFormat="false" ht="23" hidden="false" customHeight="true" outlineLevel="0" collapsed="false">
      <c r="A34" s="36"/>
      <c r="B34" s="37"/>
      <c r="C34" s="38" t="s">
        <v>194</v>
      </c>
      <c r="D34" s="39"/>
      <c r="E34" s="40"/>
      <c r="F34" s="36"/>
      <c r="G34" s="36"/>
      <c r="H34" s="37"/>
      <c r="I34" s="41"/>
      <c r="J34" s="40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</row>
    <row r="35" customFormat="false" ht="23" hidden="false" customHeight="true" outlineLevel="0" collapsed="false">
      <c r="A35" s="36"/>
      <c r="B35" s="37"/>
      <c r="C35" s="38" t="s">
        <v>195</v>
      </c>
      <c r="D35" s="39"/>
      <c r="E35" s="40"/>
      <c r="F35" s="36"/>
      <c r="G35" s="36"/>
      <c r="H35" s="37"/>
      <c r="I35" s="41"/>
      <c r="J35" s="40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</row>
    <row r="36" customFormat="false" ht="23" hidden="false" customHeight="true" outlineLevel="0" collapsed="false">
      <c r="A36" s="36"/>
      <c r="B36" s="37"/>
      <c r="C36" s="38" t="s">
        <v>196</v>
      </c>
      <c r="D36" s="39"/>
      <c r="E36" s="40"/>
      <c r="F36" s="36"/>
      <c r="G36" s="36"/>
      <c r="H36" s="37"/>
      <c r="I36" s="41"/>
      <c r="J36" s="40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</row>
    <row r="37" customFormat="false" ht="23" hidden="false" customHeight="true" outlineLevel="0" collapsed="false">
      <c r="A37" s="36"/>
      <c r="B37" s="37"/>
      <c r="C37" s="38" t="s">
        <v>197</v>
      </c>
      <c r="D37" s="39"/>
      <c r="E37" s="40"/>
      <c r="F37" s="36"/>
      <c r="G37" s="36"/>
      <c r="H37" s="37"/>
      <c r="I37" s="41"/>
      <c r="J37" s="40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</row>
    <row r="38" customFormat="false" ht="23" hidden="false" customHeight="true" outlineLevel="0" collapsed="false">
      <c r="A38" s="36"/>
      <c r="B38" s="37"/>
      <c r="C38" s="38" t="s">
        <v>198</v>
      </c>
      <c r="D38" s="39"/>
      <c r="E38" s="40"/>
      <c r="F38" s="36"/>
      <c r="G38" s="36"/>
      <c r="H38" s="37"/>
      <c r="I38" s="41"/>
      <c r="J38" s="40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</row>
    <row r="39" customFormat="false" ht="23" hidden="false" customHeight="true" outlineLevel="0" collapsed="false">
      <c r="A39" s="36"/>
      <c r="B39" s="37"/>
      <c r="C39" s="38" t="s">
        <v>199</v>
      </c>
      <c r="D39" s="39"/>
      <c r="E39" s="40"/>
      <c r="F39" s="36"/>
      <c r="G39" s="36"/>
      <c r="H39" s="37"/>
      <c r="I39" s="41"/>
      <c r="J39" s="40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</row>
    <row r="40" customFormat="false" ht="23" hidden="false" customHeight="true" outlineLevel="0" collapsed="false">
      <c r="A40" s="36"/>
      <c r="B40" s="37"/>
      <c r="C40" s="38" t="s">
        <v>200</v>
      </c>
      <c r="D40" s="39"/>
      <c r="E40" s="40"/>
      <c r="F40" s="36"/>
      <c r="G40" s="36"/>
      <c r="H40" s="37"/>
      <c r="I40" s="41"/>
      <c r="J40" s="40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</row>
    <row r="41" customFormat="false" ht="23" hidden="false" customHeight="true" outlineLevel="0" collapsed="false">
      <c r="A41" s="36"/>
      <c r="B41" s="37"/>
      <c r="C41" s="38" t="s">
        <v>201</v>
      </c>
      <c r="D41" s="39"/>
      <c r="E41" s="40"/>
      <c r="F41" s="36"/>
      <c r="G41" s="36"/>
      <c r="H41" s="37"/>
      <c r="I41" s="41"/>
      <c r="J41" s="40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</row>
    <row r="42" customFormat="false" ht="23" hidden="false" customHeight="true" outlineLevel="0" collapsed="false">
      <c r="A42" s="36"/>
      <c r="B42" s="37"/>
      <c r="C42" s="38" t="s">
        <v>202</v>
      </c>
      <c r="D42" s="39"/>
      <c r="E42" s="40"/>
      <c r="F42" s="36"/>
      <c r="G42" s="36"/>
      <c r="H42" s="37"/>
      <c r="I42" s="41"/>
      <c r="J42" s="40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</row>
    <row r="43" customFormat="false" ht="23" hidden="false" customHeight="true" outlineLevel="0" collapsed="false">
      <c r="A43" s="36"/>
      <c r="B43" s="37"/>
      <c r="C43" s="38" t="s">
        <v>203</v>
      </c>
      <c r="D43" s="39"/>
      <c r="E43" s="40"/>
      <c r="F43" s="36"/>
      <c r="G43" s="36"/>
      <c r="H43" s="37"/>
      <c r="I43" s="41"/>
      <c r="J43" s="40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</row>
    <row r="44" customFormat="false" ht="23" hidden="false" customHeight="true" outlineLevel="0" collapsed="false">
      <c r="A44" s="36"/>
      <c r="B44" s="37"/>
      <c r="C44" s="38" t="s">
        <v>204</v>
      </c>
      <c r="D44" s="39"/>
      <c r="E44" s="40"/>
      <c r="F44" s="36"/>
      <c r="G44" s="36"/>
      <c r="H44" s="37"/>
      <c r="I44" s="41"/>
      <c r="J44" s="40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</row>
    <row r="45" customFormat="false" ht="23" hidden="false" customHeight="true" outlineLevel="0" collapsed="false">
      <c r="A45" s="36"/>
      <c r="B45" s="37"/>
      <c r="C45" s="38" t="s">
        <v>205</v>
      </c>
      <c r="D45" s="39"/>
      <c r="E45" s="40"/>
      <c r="F45" s="36"/>
      <c r="G45" s="36"/>
      <c r="H45" s="37"/>
      <c r="I45" s="41"/>
      <c r="J45" s="40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</row>
    <row r="46" customFormat="false" ht="23" hidden="false" customHeight="true" outlineLevel="0" collapsed="false">
      <c r="A46" s="36"/>
      <c r="B46" s="37"/>
      <c r="C46" s="38" t="s">
        <v>206</v>
      </c>
      <c r="D46" s="39"/>
      <c r="E46" s="40"/>
      <c r="F46" s="36"/>
      <c r="G46" s="36"/>
      <c r="H46" s="37"/>
      <c r="I46" s="41"/>
      <c r="J46" s="40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</row>
    <row r="47" customFormat="false" ht="23" hidden="false" customHeight="true" outlineLevel="0" collapsed="false">
      <c r="A47" s="36"/>
      <c r="B47" s="37"/>
      <c r="C47" s="38" t="s">
        <v>207</v>
      </c>
      <c r="D47" s="39"/>
      <c r="E47" s="40"/>
      <c r="F47" s="36"/>
      <c r="G47" s="36"/>
      <c r="H47" s="37"/>
      <c r="I47" s="41"/>
      <c r="J47" s="40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</row>
    <row r="48" customFormat="false" ht="16" hidden="false" customHeight="false" outlineLevel="0" collapsed="false">
      <c r="B48" s="42"/>
      <c r="C48" s="43"/>
      <c r="D48" s="43"/>
      <c r="E48" s="44"/>
      <c r="H48" s="42"/>
      <c r="I48" s="43"/>
      <c r="J48" s="44"/>
    </row>
  </sheetData>
  <sheetProtection sheet="true" objects="true" scenarios="true"/>
  <conditionalFormatting sqref="H10:J48 B10:E48">
    <cfRule type="expression" priority="2" aboveAverage="0" equalAverage="0" bottom="0" percent="0" rank="0" text="" dxfId="7">
      <formula>MOD(ROW(),2)=0</formula>
    </cfRule>
  </conditionalFormatting>
  <dataValidations count="1">
    <dataValidation allowBlank="true" errorStyle="stop" operator="between" showDropDown="false" showErrorMessage="true" showInputMessage="false" sqref="D10:D47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208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209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210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211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212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213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214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215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216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217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218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219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220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3" hidden="false" customHeight="true" outlineLevel="0" collapsed="false">
      <c r="A23" s="36"/>
      <c r="B23" s="37"/>
      <c r="C23" s="38" t="s">
        <v>221</v>
      </c>
      <c r="D23" s="39"/>
      <c r="E23" s="40"/>
      <c r="F23" s="36"/>
      <c r="G23" s="36"/>
      <c r="H23" s="37"/>
      <c r="I23" s="41"/>
      <c r="J23" s="4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3" hidden="false" customHeight="true" outlineLevel="0" collapsed="false">
      <c r="A24" s="36"/>
      <c r="B24" s="37"/>
      <c r="C24" s="38" t="s">
        <v>222</v>
      </c>
      <c r="D24" s="39"/>
      <c r="E24" s="40"/>
      <c r="F24" s="36"/>
      <c r="G24" s="36"/>
      <c r="H24" s="37"/>
      <c r="I24" s="41"/>
      <c r="J24" s="4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3" hidden="false" customHeight="true" outlineLevel="0" collapsed="false">
      <c r="A25" s="36"/>
      <c r="B25" s="37"/>
      <c r="C25" s="38" t="s">
        <v>223</v>
      </c>
      <c r="D25" s="39"/>
      <c r="E25" s="40"/>
      <c r="F25" s="36"/>
      <c r="G25" s="36"/>
      <c r="H25" s="37"/>
      <c r="I25" s="41"/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3" hidden="false" customHeight="true" outlineLevel="0" collapsed="false">
      <c r="A26" s="36"/>
      <c r="B26" s="37"/>
      <c r="C26" s="38" t="s">
        <v>224</v>
      </c>
      <c r="D26" s="39"/>
      <c r="E26" s="40"/>
      <c r="F26" s="36"/>
      <c r="G26" s="36"/>
      <c r="H26" s="37"/>
      <c r="I26" s="41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customFormat="false" ht="23" hidden="false" customHeight="true" outlineLevel="0" collapsed="false">
      <c r="A27" s="36"/>
      <c r="B27" s="37"/>
      <c r="C27" s="38" t="s">
        <v>225</v>
      </c>
      <c r="D27" s="39"/>
      <c r="E27" s="40"/>
      <c r="F27" s="36"/>
      <c r="G27" s="36"/>
      <c r="H27" s="37"/>
      <c r="I27" s="41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3" hidden="false" customHeight="true" outlineLevel="0" collapsed="false">
      <c r="A28" s="36"/>
      <c r="B28" s="37"/>
      <c r="C28" s="38" t="s">
        <v>226</v>
      </c>
      <c r="D28" s="39"/>
      <c r="E28" s="40"/>
      <c r="F28" s="36"/>
      <c r="G28" s="36"/>
      <c r="H28" s="37"/>
      <c r="I28" s="41"/>
      <c r="J28" s="40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3" hidden="false" customHeight="true" outlineLevel="0" collapsed="false">
      <c r="A29" s="36"/>
      <c r="B29" s="37"/>
      <c r="C29" s="38" t="s">
        <v>227</v>
      </c>
      <c r="D29" s="39"/>
      <c r="E29" s="40"/>
      <c r="F29" s="36"/>
      <c r="G29" s="36"/>
      <c r="H29" s="37"/>
      <c r="I29" s="41"/>
      <c r="J29" s="40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16" hidden="false" customHeight="false" outlineLevel="0" collapsed="false">
      <c r="B30" s="42"/>
      <c r="C30" s="43"/>
      <c r="D30" s="43"/>
      <c r="E30" s="44"/>
      <c r="H30" s="42"/>
      <c r="I30" s="43"/>
      <c r="J30" s="44"/>
    </row>
  </sheetData>
  <sheetProtection sheet="true" objects="true" scenarios="true"/>
  <conditionalFormatting sqref="H10:J30 B10:E30">
    <cfRule type="expression" priority="2" aboveAverage="0" equalAverage="0" bottom="0" percent="0" rank="0" text="" dxfId="8">
      <formula>MOD(ROW(),2)=0</formula>
    </cfRule>
  </conditionalFormatting>
  <dataValidations count="1">
    <dataValidation allowBlank="true" errorStyle="stop" operator="between" showDropDown="false" showErrorMessage="true" showInputMessage="false" sqref="D10:D29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0.9921875" defaultRowHeight="15" customHeight="false" zeroHeight="false" outlineLevelRow="0" outlineLevelCol="0"/>
  <cols>
    <col collapsed="false" customWidth="true" hidden="false" outlineLevel="0" max="1" min="1" style="28" width="2.32"/>
    <col collapsed="false" customWidth="true" hidden="false" outlineLevel="0" max="2" min="2" style="29" width="3.66"/>
    <col collapsed="false" customWidth="true" hidden="false" outlineLevel="0" max="3" min="3" style="28" width="85.99"/>
    <col collapsed="false" customWidth="true" hidden="false" outlineLevel="0" max="4" min="4" style="28" width="4.33"/>
    <col collapsed="false" customWidth="true" hidden="false" outlineLevel="0" max="5" min="5" style="28" width="4.66"/>
    <col collapsed="false" customWidth="true" hidden="false" outlineLevel="0" max="8" min="6" style="28" width="4.16"/>
    <col collapsed="false" customWidth="true" hidden="false" outlineLevel="0" max="9" min="9" style="28" width="88.82"/>
    <col collapsed="false" customWidth="true" hidden="false" outlineLevel="0" max="10" min="10" style="28" width="6.16"/>
    <col collapsed="false" customWidth="false" hidden="false" outlineLevel="0" max="257" min="11" style="28" width="10.99"/>
  </cols>
  <sheetData>
    <row r="2" customFormat="false" ht="15" hidden="false" customHeight="false" outlineLevel="0" collapsed="false">
      <c r="B2" s="0"/>
    </row>
    <row r="3" customFormat="false" ht="15" hidden="false" customHeight="false" outlineLevel="0" collapsed="false">
      <c r="B3" s="0"/>
    </row>
    <row r="4" customFormat="false" ht="15" hidden="false" customHeight="false" outlineLevel="0" collapsed="false">
      <c r="B4" s="30"/>
    </row>
    <row r="8" customFormat="false" ht="16" hidden="false" customHeight="false" outlineLevel="0" collapsed="false">
      <c r="B8" s="31"/>
      <c r="C8" s="31" t="s">
        <v>16</v>
      </c>
      <c r="H8" s="31"/>
      <c r="I8" s="31" t="s">
        <v>17</v>
      </c>
    </row>
    <row r="9" customFormat="false" ht="16" hidden="false" customHeight="false" outlineLevel="0" collapsed="false">
      <c r="B9" s="32"/>
      <c r="C9" s="33"/>
      <c r="D9" s="34"/>
      <c r="E9" s="35"/>
      <c r="H9" s="32"/>
      <c r="I9" s="33"/>
      <c r="J9" s="35"/>
    </row>
    <row r="10" customFormat="false" ht="23" hidden="false" customHeight="true" outlineLevel="0" collapsed="false">
      <c r="A10" s="36"/>
      <c r="B10" s="37"/>
      <c r="C10" s="38" t="s">
        <v>228</v>
      </c>
      <c r="D10" s="39"/>
      <c r="E10" s="40"/>
      <c r="F10" s="36"/>
      <c r="G10" s="36"/>
      <c r="H10" s="37"/>
      <c r="I10" s="41"/>
      <c r="J10" s="40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customFormat="false" ht="23" hidden="false" customHeight="true" outlineLevel="0" collapsed="false">
      <c r="A11" s="36"/>
      <c r="B11" s="37"/>
      <c r="C11" s="38" t="s">
        <v>229</v>
      </c>
      <c r="D11" s="39"/>
      <c r="E11" s="40"/>
      <c r="F11" s="36"/>
      <c r="G11" s="36"/>
      <c r="H11" s="37"/>
      <c r="I11" s="41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3" hidden="false" customHeight="true" outlineLevel="0" collapsed="false">
      <c r="A12" s="36"/>
      <c r="B12" s="37"/>
      <c r="C12" s="38" t="s">
        <v>230</v>
      </c>
      <c r="D12" s="39"/>
      <c r="E12" s="40"/>
      <c r="F12" s="36"/>
      <c r="G12" s="36"/>
      <c r="H12" s="37"/>
      <c r="I12" s="41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3" hidden="false" customHeight="true" outlineLevel="0" collapsed="false">
      <c r="A13" s="36"/>
      <c r="B13" s="37"/>
      <c r="C13" s="38" t="s">
        <v>231</v>
      </c>
      <c r="D13" s="39"/>
      <c r="E13" s="40"/>
      <c r="F13" s="36"/>
      <c r="G13" s="36"/>
      <c r="H13" s="37"/>
      <c r="I13" s="41"/>
      <c r="J13" s="40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3" hidden="false" customHeight="true" outlineLevel="0" collapsed="false">
      <c r="A14" s="36"/>
      <c r="B14" s="37"/>
      <c r="C14" s="38" t="s">
        <v>232</v>
      </c>
      <c r="D14" s="39"/>
      <c r="E14" s="40"/>
      <c r="F14" s="36"/>
      <c r="G14" s="36"/>
      <c r="H14" s="37"/>
      <c r="I14" s="41"/>
      <c r="J14" s="40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3" hidden="false" customHeight="true" outlineLevel="0" collapsed="false">
      <c r="A15" s="36"/>
      <c r="B15" s="37"/>
      <c r="C15" s="38" t="s">
        <v>233</v>
      </c>
      <c r="D15" s="39"/>
      <c r="E15" s="40"/>
      <c r="F15" s="36"/>
      <c r="G15" s="36"/>
      <c r="H15" s="37"/>
      <c r="I15" s="41"/>
      <c r="J15" s="40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customFormat="false" ht="23" hidden="false" customHeight="true" outlineLevel="0" collapsed="false">
      <c r="A16" s="36"/>
      <c r="B16" s="37"/>
      <c r="C16" s="38" t="s">
        <v>234</v>
      </c>
      <c r="D16" s="39"/>
      <c r="E16" s="40"/>
      <c r="F16" s="36"/>
      <c r="G16" s="36"/>
      <c r="H16" s="37"/>
      <c r="I16" s="41"/>
      <c r="J16" s="40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3" hidden="false" customHeight="true" outlineLevel="0" collapsed="false">
      <c r="A17" s="36"/>
      <c r="B17" s="37"/>
      <c r="C17" s="38" t="s">
        <v>235</v>
      </c>
      <c r="D17" s="39"/>
      <c r="E17" s="40"/>
      <c r="F17" s="36"/>
      <c r="G17" s="36"/>
      <c r="H17" s="37"/>
      <c r="I17" s="41"/>
      <c r="J17" s="4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3" hidden="false" customHeight="true" outlineLevel="0" collapsed="false">
      <c r="A18" s="36"/>
      <c r="B18" s="37"/>
      <c r="C18" s="38" t="s">
        <v>236</v>
      </c>
      <c r="D18" s="39"/>
      <c r="E18" s="40"/>
      <c r="F18" s="36"/>
      <c r="G18" s="36"/>
      <c r="H18" s="37"/>
      <c r="I18" s="41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3" hidden="false" customHeight="true" outlineLevel="0" collapsed="false">
      <c r="A19" s="36"/>
      <c r="B19" s="37"/>
      <c r="C19" s="38" t="s">
        <v>237</v>
      </c>
      <c r="D19" s="39"/>
      <c r="E19" s="40"/>
      <c r="F19" s="36"/>
      <c r="G19" s="36"/>
      <c r="H19" s="37"/>
      <c r="I19" s="41"/>
      <c r="J19" s="40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3" hidden="false" customHeight="true" outlineLevel="0" collapsed="false">
      <c r="A20" s="36"/>
      <c r="B20" s="37"/>
      <c r="C20" s="38" t="s">
        <v>238</v>
      </c>
      <c r="D20" s="39"/>
      <c r="E20" s="40"/>
      <c r="F20" s="36"/>
      <c r="G20" s="36"/>
      <c r="H20" s="37"/>
      <c r="I20" s="41"/>
      <c r="J20" s="40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3" hidden="false" customHeight="true" outlineLevel="0" collapsed="false">
      <c r="A21" s="36"/>
      <c r="B21" s="37"/>
      <c r="C21" s="38" t="s">
        <v>239</v>
      </c>
      <c r="D21" s="39"/>
      <c r="E21" s="40"/>
      <c r="F21" s="36"/>
      <c r="G21" s="36"/>
      <c r="H21" s="37"/>
      <c r="I21" s="41"/>
      <c r="J21" s="40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3" hidden="false" customHeight="true" outlineLevel="0" collapsed="false">
      <c r="A22" s="36"/>
      <c r="B22" s="37"/>
      <c r="C22" s="38" t="s">
        <v>240</v>
      </c>
      <c r="D22" s="39"/>
      <c r="E22" s="40"/>
      <c r="F22" s="36"/>
      <c r="G22" s="36"/>
      <c r="H22" s="37"/>
      <c r="I22" s="41"/>
      <c r="J22" s="40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3" hidden="false" customHeight="true" outlineLevel="0" collapsed="false">
      <c r="A23" s="36"/>
      <c r="B23" s="37"/>
      <c r="C23" s="38" t="s">
        <v>241</v>
      </c>
      <c r="D23" s="39"/>
      <c r="E23" s="40"/>
      <c r="F23" s="36"/>
      <c r="G23" s="36"/>
      <c r="H23" s="37"/>
      <c r="I23" s="41"/>
      <c r="J23" s="4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3" hidden="false" customHeight="true" outlineLevel="0" collapsed="false">
      <c r="A24" s="36"/>
      <c r="B24" s="37"/>
      <c r="C24" s="38" t="s">
        <v>242</v>
      </c>
      <c r="D24" s="39"/>
      <c r="E24" s="40"/>
      <c r="F24" s="36"/>
      <c r="G24" s="36"/>
      <c r="H24" s="37"/>
      <c r="I24" s="41"/>
      <c r="J24" s="4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3" hidden="false" customHeight="true" outlineLevel="0" collapsed="false">
      <c r="A25" s="36"/>
      <c r="B25" s="37"/>
      <c r="C25" s="38" t="s">
        <v>243</v>
      </c>
      <c r="D25" s="39"/>
      <c r="E25" s="40"/>
      <c r="F25" s="36"/>
      <c r="G25" s="36"/>
      <c r="H25" s="37"/>
      <c r="I25" s="41"/>
      <c r="J25" s="40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3" hidden="false" customHeight="true" outlineLevel="0" collapsed="false">
      <c r="A26" s="36"/>
      <c r="B26" s="37"/>
      <c r="C26" s="38" t="s">
        <v>244</v>
      </c>
      <c r="D26" s="39"/>
      <c r="E26" s="40"/>
      <c r="F26" s="36"/>
      <c r="G26" s="36"/>
      <c r="H26" s="37"/>
      <c r="I26" s="41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customFormat="false" ht="23" hidden="false" customHeight="true" outlineLevel="0" collapsed="false">
      <c r="A27" s="36"/>
      <c r="B27" s="37"/>
      <c r="C27" s="38" t="s">
        <v>245</v>
      </c>
      <c r="D27" s="39"/>
      <c r="E27" s="40"/>
      <c r="F27" s="36"/>
      <c r="G27" s="36"/>
      <c r="H27" s="37"/>
      <c r="I27" s="41"/>
      <c r="J27" s="4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3" hidden="false" customHeight="true" outlineLevel="0" collapsed="false">
      <c r="A28" s="36"/>
      <c r="B28" s="37"/>
      <c r="C28" s="38" t="s">
        <v>246</v>
      </c>
      <c r="D28" s="39"/>
      <c r="E28" s="40"/>
      <c r="F28" s="36"/>
      <c r="G28" s="36"/>
      <c r="H28" s="37"/>
      <c r="I28" s="41"/>
      <c r="J28" s="40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3" hidden="false" customHeight="true" outlineLevel="0" collapsed="false">
      <c r="A29" s="36"/>
      <c r="B29" s="37"/>
      <c r="C29" s="38" t="s">
        <v>247</v>
      </c>
      <c r="D29" s="39"/>
      <c r="E29" s="40"/>
      <c r="F29" s="36"/>
      <c r="G29" s="36"/>
      <c r="H29" s="37"/>
      <c r="I29" s="41"/>
      <c r="J29" s="40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23" hidden="false" customHeight="true" outlineLevel="0" collapsed="false">
      <c r="A30" s="36"/>
      <c r="B30" s="37"/>
      <c r="C30" s="38" t="s">
        <v>248</v>
      </c>
      <c r="D30" s="39"/>
      <c r="E30" s="40"/>
      <c r="F30" s="36"/>
      <c r="G30" s="36"/>
      <c r="H30" s="37"/>
      <c r="I30" s="41"/>
      <c r="J30" s="40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customFormat="false" ht="23" hidden="false" customHeight="true" outlineLevel="0" collapsed="false">
      <c r="A31" s="36"/>
      <c r="B31" s="37"/>
      <c r="C31" s="38" t="s">
        <v>249</v>
      </c>
      <c r="D31" s="39"/>
      <c r="E31" s="40"/>
      <c r="F31" s="36"/>
      <c r="G31" s="36"/>
      <c r="H31" s="37"/>
      <c r="I31" s="41"/>
      <c r="J31" s="40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</row>
    <row r="32" customFormat="false" ht="23" hidden="false" customHeight="true" outlineLevel="0" collapsed="false">
      <c r="A32" s="36"/>
      <c r="B32" s="37"/>
      <c r="C32" s="38" t="s">
        <v>250</v>
      </c>
      <c r="D32" s="39"/>
      <c r="E32" s="40"/>
      <c r="F32" s="36"/>
      <c r="G32" s="36"/>
      <c r="H32" s="37"/>
      <c r="I32" s="41"/>
      <c r="J32" s="40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</row>
    <row r="33" customFormat="false" ht="23" hidden="false" customHeight="true" outlineLevel="0" collapsed="false">
      <c r="A33" s="36"/>
      <c r="B33" s="37"/>
      <c r="C33" s="38" t="s">
        <v>251</v>
      </c>
      <c r="D33" s="39"/>
      <c r="E33" s="40"/>
      <c r="F33" s="36"/>
      <c r="G33" s="36"/>
      <c r="H33" s="37"/>
      <c r="I33" s="41"/>
      <c r="J33" s="40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</row>
    <row r="34" customFormat="false" ht="23" hidden="false" customHeight="true" outlineLevel="0" collapsed="false">
      <c r="A34" s="36"/>
      <c r="B34" s="37"/>
      <c r="C34" s="38" t="s">
        <v>252</v>
      </c>
      <c r="D34" s="39"/>
      <c r="E34" s="40"/>
      <c r="F34" s="36"/>
      <c r="G34" s="36"/>
      <c r="H34" s="37"/>
      <c r="I34" s="41"/>
      <c r="J34" s="40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</row>
    <row r="35" customFormat="false" ht="23" hidden="false" customHeight="true" outlineLevel="0" collapsed="false">
      <c r="A35" s="36"/>
      <c r="B35" s="37"/>
      <c r="C35" s="38" t="s">
        <v>253</v>
      </c>
      <c r="D35" s="39"/>
      <c r="E35" s="40"/>
      <c r="F35" s="36"/>
      <c r="G35" s="36"/>
      <c r="H35" s="37"/>
      <c r="I35" s="41"/>
      <c r="J35" s="40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</row>
    <row r="36" customFormat="false" ht="23" hidden="false" customHeight="true" outlineLevel="0" collapsed="false">
      <c r="A36" s="36"/>
      <c r="B36" s="37"/>
      <c r="C36" s="38" t="s">
        <v>254</v>
      </c>
      <c r="D36" s="39"/>
      <c r="E36" s="40"/>
      <c r="F36" s="36"/>
      <c r="G36" s="36"/>
      <c r="H36" s="37"/>
      <c r="I36" s="41"/>
      <c r="J36" s="40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</row>
    <row r="37" customFormat="false" ht="23" hidden="false" customHeight="true" outlineLevel="0" collapsed="false">
      <c r="A37" s="36"/>
      <c r="B37" s="37"/>
      <c r="C37" s="38" t="s">
        <v>255</v>
      </c>
      <c r="D37" s="39"/>
      <c r="E37" s="40"/>
      <c r="F37" s="36"/>
      <c r="G37" s="36"/>
      <c r="H37" s="37"/>
      <c r="I37" s="41"/>
      <c r="J37" s="40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</row>
    <row r="38" customFormat="false" ht="23" hidden="false" customHeight="true" outlineLevel="0" collapsed="false">
      <c r="A38" s="36"/>
      <c r="B38" s="37"/>
      <c r="C38" s="38" t="s">
        <v>256</v>
      </c>
      <c r="D38" s="39"/>
      <c r="E38" s="40"/>
      <c r="F38" s="36"/>
      <c r="G38" s="36"/>
      <c r="H38" s="37"/>
      <c r="I38" s="41"/>
      <c r="J38" s="40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</row>
    <row r="39" customFormat="false" ht="23" hidden="false" customHeight="true" outlineLevel="0" collapsed="false">
      <c r="A39" s="36"/>
      <c r="B39" s="37"/>
      <c r="C39" s="38" t="s">
        <v>257</v>
      </c>
      <c r="D39" s="39"/>
      <c r="E39" s="40"/>
      <c r="F39" s="36"/>
      <c r="G39" s="36"/>
      <c r="H39" s="37"/>
      <c r="I39" s="41"/>
      <c r="J39" s="40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</row>
    <row r="40" customFormat="false" ht="23" hidden="false" customHeight="true" outlineLevel="0" collapsed="false">
      <c r="A40" s="36"/>
      <c r="B40" s="37"/>
      <c r="C40" s="38" t="s">
        <v>258</v>
      </c>
      <c r="D40" s="39"/>
      <c r="E40" s="40"/>
      <c r="F40" s="36"/>
      <c r="G40" s="36"/>
      <c r="H40" s="37"/>
      <c r="I40" s="41"/>
      <c r="J40" s="40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</row>
    <row r="41" customFormat="false" ht="23" hidden="false" customHeight="true" outlineLevel="0" collapsed="false">
      <c r="A41" s="36"/>
      <c r="B41" s="37"/>
      <c r="C41" s="38" t="s">
        <v>259</v>
      </c>
      <c r="D41" s="39"/>
      <c r="E41" s="40"/>
      <c r="F41" s="36"/>
      <c r="G41" s="36"/>
      <c r="H41" s="37"/>
      <c r="I41" s="41"/>
      <c r="J41" s="40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</row>
    <row r="42" customFormat="false" ht="23" hidden="false" customHeight="true" outlineLevel="0" collapsed="false">
      <c r="A42" s="36"/>
      <c r="B42" s="37"/>
      <c r="C42" s="38" t="s">
        <v>260</v>
      </c>
      <c r="D42" s="39"/>
      <c r="E42" s="40"/>
      <c r="F42" s="36"/>
      <c r="G42" s="36"/>
      <c r="H42" s="37"/>
      <c r="I42" s="41"/>
      <c r="J42" s="40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</row>
    <row r="43" customFormat="false" ht="23" hidden="false" customHeight="true" outlineLevel="0" collapsed="false">
      <c r="A43" s="36"/>
      <c r="B43" s="37"/>
      <c r="C43" s="38" t="s">
        <v>261</v>
      </c>
      <c r="D43" s="39"/>
      <c r="E43" s="40"/>
      <c r="F43" s="36"/>
      <c r="G43" s="36"/>
      <c r="H43" s="37"/>
      <c r="I43" s="41"/>
      <c r="J43" s="40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</row>
    <row r="44" customFormat="false" ht="23" hidden="false" customHeight="true" outlineLevel="0" collapsed="false">
      <c r="A44" s="36"/>
      <c r="B44" s="37"/>
      <c r="C44" s="38" t="s">
        <v>262</v>
      </c>
      <c r="D44" s="39"/>
      <c r="E44" s="40"/>
      <c r="F44" s="36"/>
      <c r="G44" s="36"/>
      <c r="H44" s="37"/>
      <c r="I44" s="41"/>
      <c r="J44" s="40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</row>
    <row r="45" customFormat="false" ht="23" hidden="false" customHeight="true" outlineLevel="0" collapsed="false">
      <c r="A45" s="36"/>
      <c r="B45" s="37"/>
      <c r="C45" s="38" t="s">
        <v>263</v>
      </c>
      <c r="D45" s="39"/>
      <c r="E45" s="40"/>
      <c r="F45" s="36"/>
      <c r="G45" s="36"/>
      <c r="H45" s="37"/>
      <c r="I45" s="41"/>
      <c r="J45" s="40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</row>
    <row r="46" customFormat="false" ht="23" hidden="false" customHeight="true" outlineLevel="0" collapsed="false">
      <c r="A46" s="36"/>
      <c r="B46" s="37"/>
      <c r="C46" s="38" t="s">
        <v>264</v>
      </c>
      <c r="D46" s="39"/>
      <c r="E46" s="40"/>
      <c r="F46" s="36"/>
      <c r="G46" s="36"/>
      <c r="H46" s="37"/>
      <c r="I46" s="41"/>
      <c r="J46" s="40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</row>
    <row r="47" customFormat="false" ht="16" hidden="false" customHeight="false" outlineLevel="0" collapsed="false">
      <c r="B47" s="42"/>
      <c r="C47" s="43"/>
      <c r="D47" s="43"/>
      <c r="E47" s="44"/>
      <c r="H47" s="42"/>
      <c r="I47" s="43"/>
      <c r="J47" s="44"/>
    </row>
  </sheetData>
  <sheetProtection sheet="true" objects="true" scenarios="true"/>
  <conditionalFormatting sqref="H10:J47 B10:E47">
    <cfRule type="expression" priority="2" aboveAverage="0" equalAverage="0" bottom="0" percent="0" rank="0" text="" dxfId="9">
      <formula>MOD(ROW(),2)=0</formula>
    </cfRule>
  </conditionalFormatting>
  <dataValidations count="1">
    <dataValidation allowBlank="true" errorStyle="stop" operator="between" showDropDown="false" showErrorMessage="true" showInputMessage="false" sqref="D10:D46" type="whole">
      <formula1>-1</formula1>
      <formula2>1</formula2>
    </dataValidation>
  </dataValidations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60" activeCellId="0" sqref="L60"/>
    </sheetView>
  </sheetViews>
  <sheetFormatPr defaultColWidth="11.0546875" defaultRowHeight="12" customHeight="false" zeroHeight="false" outlineLevelRow="0" outlineLevelCol="0"/>
  <cols>
    <col collapsed="false" customWidth="true" hidden="false" outlineLevel="0" max="1" min="1" style="0" width="2.32"/>
    <col collapsed="false" customWidth="true" hidden="false" outlineLevel="0" max="2" min="2" style="0" width="4.82"/>
    <col collapsed="false" customWidth="true" hidden="false" outlineLevel="0" max="3" min="3" style="0" width="38.99"/>
    <col collapsed="false" customWidth="true" hidden="false" outlineLevel="0" max="4" min="4" style="1" width="14.16"/>
    <col collapsed="false" customWidth="true" hidden="false" outlineLevel="0" max="6" min="5" style="1" width="15.66"/>
    <col collapsed="false" customWidth="true" hidden="false" outlineLevel="0" max="7" min="7" style="1" width="8.99"/>
    <col collapsed="false" customWidth="true" hidden="false" outlineLevel="0" max="8" min="8" style="1" width="4.33"/>
    <col collapsed="false" customWidth="true" hidden="false" outlineLevel="0" max="9" min="9" style="0" width="4.66"/>
  </cols>
  <sheetData>
    <row r="1" customFormat="false" ht="12" hidden="false" customHeight="false" outlineLevel="0" collapsed="false">
      <c r="G1" s="0"/>
    </row>
    <row r="7" customFormat="false" ht="12" hidden="false" customHeight="false" outlineLevel="0" collapsed="false">
      <c r="D7" s="0"/>
    </row>
  </sheetData>
  <sheetProtection sheet="true" objects="true" scenarios="true"/>
  <printOptions headings="false" gridLines="false" gridLinesSet="true" horizontalCentered="false" verticalCentered="false"/>
  <pageMargins left="0.390277777777778" right="0.390277777777778" top="0.841666666666667" bottom="0.789583333333333" header="0.390277777777778" footer="0.509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&amp;L© Userfocus Ltd 2009&amp;R&amp;P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2005-01-03T14:52:43Z</dcterms:created>
  <dc:creator>David Travis</dc:creator>
  <dc:description/>
  <dc:language>es-ES</dc:language>
  <cp:lastModifiedBy/>
  <cp:lastPrinted>2009-05-23T11:51:45Z</cp:lastPrinted>
  <dcterms:modified xsi:type="dcterms:W3CDTF">2026-01-13T19:00:07Z</dcterms:modified>
  <cp:revision>1</cp:revision>
  <dc:subject/>
  <dc:title/>
</cp:coreProperties>
</file>